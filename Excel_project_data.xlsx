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ad6244c93e2e3c/Desktop/Documents/"/>
    </mc:Choice>
  </mc:AlternateContent>
  <xr:revisionPtr revIDLastSave="816" documentId="8_{950EE129-C63F-449C-9C30-324C2CD1D4E9}" xr6:coauthVersionLast="47" xr6:coauthVersionMax="47" xr10:uidLastSave="{B26F3F38-8F43-444A-98E8-93EEFD076D28}"/>
  <bookViews>
    <workbookView xWindow="-108" yWindow="-108" windowWidth="23256" windowHeight="12456" activeTab="2" xr2:uid="{27B8D62C-540E-4EAA-B9B7-A607158DD729}"/>
  </bookViews>
  <sheets>
    <sheet name="Data" sheetId="1" r:id="rId1"/>
    <sheet name="Data Prep" sheetId="2" r:id="rId2"/>
    <sheet name="Dashboard" sheetId="3" r:id="rId3"/>
  </sheets>
  <definedNames>
    <definedName name="_xlnm._FilterDatabase" localSheetId="1" hidden="1">'Data Prep'!$D$2:$E$12</definedName>
    <definedName name="_xlchart.v5.0" hidden="1">'Data Prep'!$U$2</definedName>
    <definedName name="_xlchart.v5.1" hidden="1">'Data Prep'!$U$3:$U$50</definedName>
    <definedName name="_xlchart.v5.2" hidden="1">'Data Prep'!$Z$2</definedName>
    <definedName name="_xlchart.v5.3" hidden="1">'Data Prep'!$Z$3:$Z$50</definedName>
    <definedName name="_xlchart.v5.4" hidden="1">'Data Prep'!$U$2</definedName>
    <definedName name="_xlchart.v5.5" hidden="1">'Data Prep'!$U$3:$U$50</definedName>
    <definedName name="_xlchart.v5.6" hidden="1">'Data Prep'!$Z$2</definedName>
    <definedName name="_xlchart.v5.7" hidden="1">'Data Prep'!$Z$3:$Z$50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Z2" i="2" s="1"/>
  <c r="A6" i="3" a="1"/>
  <c r="A6" i="3" s="1"/>
  <c r="B3" i="2" s="1"/>
  <c r="Y12" i="2" s="1"/>
  <c r="E10" i="2"/>
  <c r="E8" i="2"/>
  <c r="E5" i="2"/>
  <c r="E4" i="2"/>
  <c r="E6" i="2"/>
  <c r="E7" i="2"/>
  <c r="E9" i="2"/>
  <c r="E11" i="2"/>
  <c r="E12" i="2"/>
  <c r="E3" i="2"/>
  <c r="I4" i="2"/>
  <c r="I5" i="2"/>
  <c r="I6" i="2"/>
  <c r="I7" i="2"/>
  <c r="I8" i="2"/>
  <c r="I9" i="2"/>
  <c r="I10" i="2"/>
  <c r="I11" i="2"/>
  <c r="I12" i="2"/>
  <c r="I3" i="2"/>
  <c r="F11" i="2" l="1"/>
  <c r="F10" i="2"/>
  <c r="F8" i="2"/>
  <c r="F3" i="2"/>
  <c r="F7" i="2"/>
  <c r="F5" i="2"/>
  <c r="F4" i="2"/>
  <c r="F6" i="2"/>
  <c r="F12" i="2"/>
  <c r="F9" i="2"/>
  <c r="V8" i="2"/>
  <c r="X8" i="2" s="1"/>
  <c r="V35" i="2"/>
  <c r="X35" i="2" s="1"/>
  <c r="V21" i="2"/>
  <c r="X21" i="2" s="1"/>
  <c r="Y39" i="2"/>
  <c r="Y21" i="2"/>
  <c r="V50" i="2"/>
  <c r="X50" i="2" s="1"/>
  <c r="V34" i="2"/>
  <c r="X34" i="2" s="1"/>
  <c r="V20" i="2"/>
  <c r="X20" i="2" s="1"/>
  <c r="V5" i="2"/>
  <c r="X5" i="2" s="1"/>
  <c r="Y35" i="2"/>
  <c r="Y20" i="2"/>
  <c r="Y5" i="2"/>
  <c r="V47" i="2"/>
  <c r="X47" i="2" s="1"/>
  <c r="V33" i="2"/>
  <c r="X33" i="2" s="1"/>
  <c r="Z33" i="2" s="1"/>
  <c r="V19" i="2"/>
  <c r="X19" i="2" s="1"/>
  <c r="V4" i="2"/>
  <c r="X4" i="2" s="1"/>
  <c r="Y34" i="2"/>
  <c r="Y19" i="2"/>
  <c r="Y4" i="2"/>
  <c r="V46" i="2"/>
  <c r="X46" i="2" s="1"/>
  <c r="V32" i="2"/>
  <c r="X32" i="2" s="1"/>
  <c r="V18" i="2"/>
  <c r="X18" i="2" s="1"/>
  <c r="Y3" i="2"/>
  <c r="Y33" i="2"/>
  <c r="Y18" i="2"/>
  <c r="P6" i="2"/>
  <c r="V45" i="2"/>
  <c r="X45" i="2" s="1"/>
  <c r="V31" i="2"/>
  <c r="X31" i="2" s="1"/>
  <c r="V17" i="2"/>
  <c r="X17" i="2" s="1"/>
  <c r="Y47" i="2"/>
  <c r="Y32" i="2"/>
  <c r="Y17" i="2"/>
  <c r="P5" i="2"/>
  <c r="V44" i="2"/>
  <c r="X44" i="2" s="1"/>
  <c r="V30" i="2"/>
  <c r="X30" i="2" s="1"/>
  <c r="V16" i="2"/>
  <c r="X16" i="2" s="1"/>
  <c r="Y46" i="2"/>
  <c r="Y31" i="2"/>
  <c r="Y16" i="2"/>
  <c r="P4" i="2"/>
  <c r="V43" i="2"/>
  <c r="X43" i="2" s="1"/>
  <c r="V29" i="2"/>
  <c r="X29" i="2" s="1"/>
  <c r="V15" i="2"/>
  <c r="X15" i="2" s="1"/>
  <c r="Y45" i="2"/>
  <c r="Y30" i="2"/>
  <c r="Y15" i="2"/>
  <c r="P3" i="2"/>
  <c r="V42" i="2"/>
  <c r="X42" i="2" s="1"/>
  <c r="V28" i="2"/>
  <c r="X28" i="2" s="1"/>
  <c r="V11" i="2"/>
  <c r="X11" i="2" s="1"/>
  <c r="Y44" i="2"/>
  <c r="Y29" i="2"/>
  <c r="Y11" i="2"/>
  <c r="Q3" i="2"/>
  <c r="Y10" i="2"/>
  <c r="V3" i="2"/>
  <c r="X3" i="2" s="1"/>
  <c r="V6" i="2"/>
  <c r="X6" i="2" s="1"/>
  <c r="Y6" i="2"/>
  <c r="V41" i="2"/>
  <c r="X41" i="2" s="1"/>
  <c r="V27" i="2"/>
  <c r="X27" i="2" s="1"/>
  <c r="V10" i="2"/>
  <c r="X10" i="2" s="1"/>
  <c r="Y43" i="2"/>
  <c r="Y28" i="2"/>
  <c r="Q6" i="2"/>
  <c r="V40" i="2"/>
  <c r="X40" i="2" s="1"/>
  <c r="V26" i="2"/>
  <c r="X26" i="2" s="1"/>
  <c r="V9" i="2"/>
  <c r="X9" i="2" s="1"/>
  <c r="Y42" i="2"/>
  <c r="Y27" i="2"/>
  <c r="Y9" i="2"/>
  <c r="Q5" i="2"/>
  <c r="V39" i="2"/>
  <c r="X39" i="2" s="1"/>
  <c r="Z39" i="2" s="1"/>
  <c r="V23" i="2"/>
  <c r="X23" i="2" s="1"/>
  <c r="Y41" i="2"/>
  <c r="Y23" i="2"/>
  <c r="Y8" i="2"/>
  <c r="Q4" i="2"/>
  <c r="V38" i="2"/>
  <c r="X38" i="2" s="1"/>
  <c r="V22" i="2"/>
  <c r="X22" i="2" s="1"/>
  <c r="V7" i="2"/>
  <c r="X7" i="2" s="1"/>
  <c r="Y40" i="2"/>
  <c r="Y22" i="2"/>
  <c r="Y7" i="2"/>
  <c r="V14" i="2"/>
  <c r="X14" i="2" s="1"/>
  <c r="Y50" i="2"/>
  <c r="Y38" i="2"/>
  <c r="Y26" i="2"/>
  <c r="Y14" i="2"/>
  <c r="V49" i="2"/>
  <c r="X49" i="2" s="1"/>
  <c r="V37" i="2"/>
  <c r="X37" i="2" s="1"/>
  <c r="V25" i="2"/>
  <c r="X25" i="2" s="1"/>
  <c r="V13" i="2"/>
  <c r="X13" i="2" s="1"/>
  <c r="Y49" i="2"/>
  <c r="Y37" i="2"/>
  <c r="Y25" i="2"/>
  <c r="Y13" i="2"/>
  <c r="H18" i="2"/>
  <c r="H23" i="2" s="1"/>
  <c r="V48" i="2"/>
  <c r="X48" i="2" s="1"/>
  <c r="V36" i="2"/>
  <c r="X36" i="2" s="1"/>
  <c r="V24" i="2"/>
  <c r="X24" i="2" s="1"/>
  <c r="V12" i="2"/>
  <c r="X12" i="2" s="1"/>
  <c r="Z12" i="2" s="1"/>
  <c r="Y48" i="2"/>
  <c r="Y36" i="2"/>
  <c r="Y24" i="2"/>
  <c r="Z35" i="2" l="1"/>
  <c r="Z23" i="2"/>
  <c r="Z28" i="2"/>
  <c r="Z27" i="2"/>
  <c r="Z42" i="2"/>
  <c r="Z48" i="2"/>
  <c r="Z11" i="2"/>
  <c r="Z47" i="2"/>
  <c r="Z16" i="2"/>
  <c r="Z10" i="2"/>
  <c r="Z19" i="2"/>
  <c r="Z21" i="2"/>
  <c r="Z44" i="2"/>
  <c r="Z30" i="2"/>
  <c r="Z32" i="2"/>
  <c r="Z14" i="2"/>
  <c r="Z8" i="2"/>
  <c r="Z4" i="2"/>
  <c r="Z6" i="2"/>
  <c r="Z13" i="2"/>
  <c r="Z7" i="2"/>
  <c r="Z3" i="2"/>
  <c r="Z46" i="2"/>
  <c r="Z20" i="2"/>
  <c r="Z18" i="2"/>
  <c r="Z25" i="2"/>
  <c r="Z22" i="2"/>
  <c r="Z9" i="2"/>
  <c r="Z15" i="2"/>
  <c r="Z34" i="2"/>
  <c r="Z41" i="2"/>
  <c r="Z37" i="2"/>
  <c r="Z38" i="2"/>
  <c r="Z26" i="2"/>
  <c r="Z29" i="2"/>
  <c r="Z50" i="2"/>
  <c r="Z5" i="2"/>
  <c r="Z49" i="2"/>
  <c r="Z40" i="2"/>
  <c r="Z43" i="2"/>
  <c r="Z17" i="2"/>
  <c r="Z24" i="2"/>
  <c r="Z31" i="2"/>
  <c r="Z36" i="2"/>
  <c r="Z45" i="2"/>
  <c r="I18" i="2"/>
  <c r="I19" i="2" l="1"/>
  <c r="I2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<sst xmlns="http://schemas.openxmlformats.org/spreadsheetml/2006/main" count="3951" uniqueCount="81">
  <si>
    <t>Year</t>
  </si>
  <si>
    <t>Industry</t>
  </si>
  <si>
    <t>State</t>
  </si>
  <si>
    <t>Establishments</t>
  </si>
  <si>
    <t>Employees</t>
  </si>
  <si>
    <t>Avg Annual Wage</t>
  </si>
  <si>
    <t>Natural Resources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</si>
  <si>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</si>
  <si>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</si>
  <si>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</si>
  <si>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</si>
  <si>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</si>
  <si>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</si>
  <si>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</si>
  <si>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</si>
  <si>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</si>
  <si>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</si>
  <si>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</si>
  <si>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</si>
  <si>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</si>
  <si>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</si>
  <si>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</si>
  <si>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</si>
  <si>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</si>
  <si>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</si>
  <si>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</si>
  <si>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</si>
  <si>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</si>
  <si>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</si>
  <si>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</si>
  <si>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</si>
  <si>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</si>
  <si>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</si>
  <si>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</si>
  <si>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</si>
  <si>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</si>
  <si>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</si>
  <si>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</si>
  <si>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</si>
  <si>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</si>
  <si>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</si>
  <si>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</si>
  <si>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</si>
  <si>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</si>
  <si>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</si>
  <si>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</si>
  <si>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</si>
  <si>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</si>
  <si>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</si>
  <si>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</si>
  <si>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</si>
  <si>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</si>
  <si>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</si>
  <si>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</si>
  <si>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</si>
  <si>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Construction</t>
  </si>
  <si>
    <t>Manufacturing</t>
  </si>
  <si>
    <t>Trade &amp; Transportation</t>
  </si>
  <si>
    <t>Information</t>
  </si>
  <si>
    <t>Finance</t>
  </si>
  <si>
    <t>Business Services</t>
  </si>
  <si>
    <t>Education &amp; Health</t>
  </si>
  <si>
    <t>Leisure &amp; Hospitality</t>
  </si>
  <si>
    <t>Other Services</t>
  </si>
  <si>
    <t>INDUSTRY FILTER</t>
  </si>
  <si>
    <t>Selection</t>
  </si>
  <si>
    <t>Year FILTER</t>
  </si>
  <si>
    <t>Current Year</t>
  </si>
  <si>
    <t>Average Wage by Industry</t>
  </si>
  <si>
    <t xml:space="preserve">Average Wage </t>
  </si>
  <si>
    <t>Employees by Industry</t>
  </si>
  <si>
    <t>Employee</t>
  </si>
  <si>
    <t>Others</t>
  </si>
  <si>
    <t>Average Wage</t>
  </si>
  <si>
    <t>Wage and Employee by Year</t>
  </si>
  <si>
    <t>Comparison across States</t>
  </si>
  <si>
    <t>Population</t>
  </si>
  <si>
    <t>Employees per 1000 Capita</t>
  </si>
  <si>
    <t>Average by state</t>
  </si>
  <si>
    <t>MAP SELECTION</t>
  </si>
  <si>
    <t>Curren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</si>
</sst>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&quot;$&quot;#,##0"/>
    <numFmt numFmtId="165" formatCode="_ * #,##0_ ;_ * \-#,##0_ ;_ * &quot;-&quot;??_ ;_ @_ "/>
    <numFmt numFmtId="166" formatCode="[$$-409]#,##0"/>
    <numFmt numFmtId="167" formatCode="[$$-540A]#,##0"/>
    <numFmt numFmtId="168" formatCode="0.00;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4" borderId="0" xfId="0" applyFont="1" applyFill="1"/>
    <xf numFmtId="0" fontId="0" fillId="4" borderId="0" xfId="0" applyFill="1"/>
    <xf numFmtId="0" fontId="2" fillId="3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2" fillId="5" borderId="0" xfId="0" applyFont="1" applyFill="1" applyAlignment="1">
      <alignment horizontal="centerContinuous"/>
    </xf>
    <xf numFmtId="0" fontId="0" fillId="6" borderId="0" xfId="0" applyFill="1"/>
    <xf numFmtId="165" fontId="0" fillId="0" borderId="0" xfId="1" applyNumberFormat="1" applyFont="1"/>
    <xf numFmtId="165" fontId="0" fillId="0" borderId="0" xfId="0" applyNumberFormat="1"/>
    <xf numFmtId="0" fontId="2" fillId="0" borderId="0" xfId="0" applyFont="1" applyAlignment="1">
      <alignment horizontal="centerContinuous"/>
    </xf>
    <xf numFmtId="166" fontId="0" fillId="0" borderId="0" xfId="0" applyNumberFormat="1"/>
    <xf numFmtId="43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2" applyFont="1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ichStyles" Target="richData/richStyl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81075743050685"/>
          <c:y val="3.7444696153243043E-2"/>
          <c:w val="0.63884308338434059"/>
          <c:h val="0.845693626969433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Average Wage 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Leisure &amp; Hospitality</c:v>
                </c:pt>
                <c:pt idx="1">
                  <c:v>Other Services</c:v>
                </c:pt>
                <c:pt idx="2">
                  <c:v>Trade &amp; Transportation</c:v>
                </c:pt>
                <c:pt idx="3">
                  <c:v>Education &amp; Health</c:v>
                </c:pt>
                <c:pt idx="4">
                  <c:v>Natural Resources</c:v>
                </c:pt>
                <c:pt idx="5">
                  <c:v>Construction</c:v>
                </c:pt>
                <c:pt idx="6">
                  <c:v>Manufacturing</c:v>
                </c:pt>
                <c:pt idx="7">
                  <c:v>Business Services</c:v>
                </c:pt>
                <c:pt idx="8">
                  <c:v>Finance</c:v>
                </c:pt>
                <c:pt idx="9">
                  <c:v>Information</c:v>
                </c:pt>
              </c:strCache>
            </c:strRef>
          </c:cat>
          <c:val>
            <c:numRef>
              <c:f>'Data Prep'!$E$3:$E$12</c:f>
              <c:numCache>
                <c:formatCode>[$$-409]#,##0</c:formatCode>
                <c:ptCount val="10"/>
                <c:pt idx="0">
                  <c:v>23286.416666666668</c:v>
                </c:pt>
                <c:pt idx="1">
                  <c:v>40790.1875</c:v>
                </c:pt>
                <c:pt idx="2">
                  <c:v>49366.8125</c:v>
                </c:pt>
                <c:pt idx="3">
                  <c:v>53607.208333333336</c:v>
                </c:pt>
                <c:pt idx="4">
                  <c:v>55967.13636363636</c:v>
                </c:pt>
                <c:pt idx="5">
                  <c:v>63896.895833333336</c:v>
                </c:pt>
                <c:pt idx="6">
                  <c:v>68427.875</c:v>
                </c:pt>
                <c:pt idx="7">
                  <c:v>74713.0625</c:v>
                </c:pt>
                <c:pt idx="8">
                  <c:v>90040.666666666672</c:v>
                </c:pt>
                <c:pt idx="9">
                  <c:v>93586.333333333328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4-4AC4-82C6-FEE82B55C09B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3.2713746986213862E-2"/>
                  <c:y val="6.240718050586307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44-4AC4-82C6-FEE82B55C09B}"/>
                </c:ext>
              </c:extLst>
            </c:dLbl>
            <c:dLbl>
              <c:idx val="6"/>
              <c:numFmt formatCode="0,&quot;K&quot;;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942743215117359"/>
                      <c:h val="9.16715337682141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A44-4AC4-82C6-FEE82B55C09B}"/>
                </c:ext>
              </c:extLst>
            </c:dLbl>
            <c:numFmt formatCode="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Prep'!$F$3:$F$12</c:f>
              <c:numCache>
                <c:formatCode>[$$-540A]#,##0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90040.666666666672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4-4AC4-82C6-FEE82B55C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672794607"/>
        <c:axId val="672792207"/>
      </c:barChart>
      <c:catAx>
        <c:axId val="67279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92207"/>
        <c:crosses val="autoZero"/>
        <c:auto val="1"/>
        <c:lblAlgn val="ctr"/>
        <c:lblOffset val="100"/>
        <c:noMultiLvlLbl val="0"/>
      </c:catAx>
      <c:valAx>
        <c:axId val="672792207"/>
        <c:scaling>
          <c:orientation val="minMax"/>
        </c:scaling>
        <c:delete val="0"/>
        <c:axPos val="b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94607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5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936823446400619E-2"/>
          <c:y val="3.468642718749896E-2"/>
          <c:w val="0.51340901947677287"/>
          <c:h val="0.94186581722349061"/>
        </c:manualLayout>
      </c:layout>
      <c:doughnutChart>
        <c:varyColors val="1"/>
        <c:ser>
          <c:idx val="0"/>
          <c:order val="0"/>
          <c:tx>
            <c:strRef>
              <c:f>'Data Prep'!$I$17</c:f>
              <c:strCache>
                <c:ptCount val="1"/>
                <c:pt idx="0">
                  <c:v>Employee</c:v>
                </c:pt>
              </c:strCache>
            </c:strRef>
          </c:tx>
          <c:spPr>
            <a:ln w="0"/>
          </c:spPr>
          <c:dPt>
            <c:idx val="0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9E-40FC-A0D9-A37357F248D6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9E-40FC-A0D9-A37357F248D6}"/>
              </c:ext>
            </c:extLst>
          </c:dPt>
          <c:dLbls>
            <c:delete val="1"/>
          </c:dLbls>
          <c:cat>
            <c:strRef>
              <c:f>'Data Prep'!$H$18:$H$19</c:f>
              <c:strCache>
                <c:ptCount val="2"/>
                <c:pt idx="0">
                  <c:v>Finance</c:v>
                </c:pt>
                <c:pt idx="1">
                  <c:v>Others</c:v>
                </c:pt>
              </c:strCache>
            </c:strRef>
          </c:cat>
          <c:val>
            <c:numRef>
              <c:f>'Data Prep'!$I$18:$I$19</c:f>
              <c:numCache>
                <c:formatCode>_ * #,##0_ ;_ * \-#,##0_ ;_ * "-"??_ ;_ @_ </c:formatCode>
                <c:ptCount val="2"/>
                <c:pt idx="0">
                  <c:v>8142043</c:v>
                </c:pt>
                <c:pt idx="1">
                  <c:v>107963802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9E-40FC-A0D9-A37357F248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 w="0">
          <a:solidFill>
            <a:schemeClr val="l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49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0876237377212"/>
          <c:y val="0.14222651175481249"/>
          <c:w val="0.81470801956509886"/>
          <c:h val="0.85777348824518751"/>
        </c:manualLayout>
      </c:layout>
      <c:lineChart>
        <c:grouping val="standard"/>
        <c:varyColors val="0"/>
        <c:ser>
          <c:idx val="2"/>
          <c:order val="0"/>
          <c:tx>
            <c:strRef>
              <c:f>'Data Prep'!$P$2</c:f>
              <c:strCache>
                <c:ptCount val="1"/>
                <c:pt idx="0">
                  <c:v>Average Wage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Prep'!$O$3:$O$6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Prep'!$P$3:$P$6</c:f>
              <c:numCache>
                <c:formatCode>[$$-409]#,##0</c:formatCode>
                <c:ptCount val="4"/>
                <c:pt idx="0">
                  <c:v>77330.083333333328</c:v>
                </c:pt>
                <c:pt idx="1">
                  <c:v>80167.854166666672</c:v>
                </c:pt>
                <c:pt idx="2">
                  <c:v>82837.375</c:v>
                </c:pt>
                <c:pt idx="3">
                  <c:v>90040.666666666672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0-404D-875F-DC0AAA9939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2857039"/>
        <c:axId val="942857999"/>
      </c:lineChart>
      <c:catAx>
        <c:axId val="9428570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2857999"/>
        <c:crosses val="autoZero"/>
        <c:auto val="1"/>
        <c:lblAlgn val="ctr"/>
        <c:lblOffset val="100"/>
        <c:noMultiLvlLbl val="0"/>
      </c:catAx>
      <c:valAx>
        <c:axId val="94285799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crossAx val="94285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'Data Prep'!$Q$2</c:f>
              <c:strCache>
                <c:ptCount val="1"/>
                <c:pt idx="0">
                  <c:v>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Prep'!$O$3:$O$6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Prep'!$Q$3:$Q$6</c:f>
              <c:numCache>
                <c:formatCode>_ * #,##0_ ;_ * \-#,##0_ ;_ * "-"??_ ;_ @_ </c:formatCode>
                <c:ptCount val="4"/>
                <c:pt idx="0">
                  <c:v>8021586</c:v>
                </c:pt>
                <c:pt idx="1">
                  <c:v>8120224</c:v>
                </c:pt>
                <c:pt idx="2">
                  <c:v>8251469</c:v>
                </c:pt>
                <c:pt idx="3">
                  <c:v>8142043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2-432D-AC74-E7BE1BDD87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2857039"/>
        <c:axId val="942857999"/>
      </c:barChart>
      <c:catAx>
        <c:axId val="94285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57999"/>
        <c:crosses val="autoZero"/>
        <c:auto val="1"/>
        <c:lblAlgn val="ctr"/>
        <c:lblOffset val="100"/>
        <c:noMultiLvlLbl val="0"/>
      </c:catAx>
      <c:valAx>
        <c:axId val="94285799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94285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EDA6EE5A-5421-46EF-B7D6-F52E6807B41D}">
          <cx:tx>
            <cx:txData>
              <cx:f>_xlchart.v5.6</cx:f>
              <cx:v>Average by state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1H1pb9vItu1fCfL50V0zWQenL9CULE+xk9hJujtfCMV2c2Zxnn79W7Rkx2Kc2Bfthwf5HLQQSyXu
qlV7WntX+b/X/X+uk9t1+aZPk6z6z3X/+9ugrvP//PZbdR3cpuvqIA2vS1OZf+qDa5P+Zv75J7y+
/e2mXHdh5v/GCBW/XQfrsr7t3/7Pf/Ft/q15Z67XdWiyj81tOVzeVk1SV79478m33qxv0jBbhlVd
htc1/f3tH8n62zpdv31zm9VhPXwa8tvf3+586O2b3+Zf9cNj3ySQrG5uMJazA1spwRiz375JTOZv
f2856sARhHNGmN783D/0Yp1i4AskuZNjfXNT3lYVZnL3+mjgjtj4/bu3b65Nk9XTavlYuN/ffs7C
+vbmzVW9rm+rt2/Cyiw2H1iYSfbPV3eT/W13vf/nv7NfYPqz3zyCZL5Wz731AyJXpqmDN4t1aZIw
e01g+IEmXAtGKbn74TN8yIGjBXEopRt41C4+L5fraZjm42doXS32Eq0Pt1lWDUm7zsJXxEpMWCil
nQ1ShNBdrGz7wOGOo22bbLBydrF6qVRPI7U7eobThz/2Eqc/ynA0r6pO4oBpzphDxQaCmbmDGh3A
DkqtpLpDERBubOzW3D0v0NPoPMxkBswfX/cUmHidVWtY41fzQALKA9XhVD4ox2NHpNmB4JpKKbfq
Je+ffY/M8xL9DJr7kXNsLvcSm4VJTLm+Mffr8wrRgXMAaKQkgm1M28ywUSIPpLAdruCdHqvLS0R5
GpTvI2egLN7vJShfbsvUZPX98vx7TIQ4ILZk+N8sIrAZLBhTWjl8o0gzRXmBJE9D8jBwhsiXT3uJ
yGKdhP+Y8lUjAG4fMCkQAlD9tKJQfaCozWwqtuHa/YbYGLGXyfQ0PI/HzhBa7Kf3X94m625d3t6v
0b9XGq4PCHFsxfjWyehZhCYPhHKU4BS+aPqZ6c5LJHoane8jZ9gsD/dTe0yW3V7X4XXzmjaNHkhb
Usm5fFJ9YNps7iB4YzNcFi+T5mlodgbP0Fnsp21bIQIIb9avpzjMOZBaSqq2ZkvPFMdBdObYXDCH
b5CbBQIvEOhpcB4GzoBZ7SdNcHRrSv81c04QN0pAJYTe8gOz0MzhB0IIboMieBKYFwj0NDAPA2fA
HO2nrzkPq8o0Zfh6KsOdA65sZCtiiwzb9TVTQmPb3KZsq1Mzm/YSiZ6G5vvIGTbn+xk7n9ysg1fM
ZhA5c0cTm93HYKBhHmealIoDJTW3HTKD5FlBnsZjO2wGxslyLx3/SQKC04SvmPmDNqPAAtnjlpOZ
+xZ9QIWjuHS+B22Pk8yXSPQTYB7mMsdmP73L+bqq1tdBU93W9WsCxA6Qs3Cwlt95y8cKY4MzIxJF
Agds2mNkXizP0/DMhs8wOt9PR3OS3YTrV6U09QHSTS2ce2JsxgeggoOI2dagPTcRwNyoPS/Q0/A8
zGQGzMnFfho2071iwCwY6BmhpC3EQ9z1WGc0P5hyHEXJ9v1Z3ebkGWl+AsndqDke+6kofw4GRU//
3qL8++QfkCCjV4zx7ZLPAjJK7AOkOEIAmLvkH37osTV7gUBPo/IwcAbMn3/vpaKcvTbz7yB3FDab
6mJ3P3Q3HtMIpB1CURrY+v+Zl3lenqdhuR83Q+Xsai9Quf5ljXyzbzc6s/PJ/21fgIaZ4rBi8P53
PzPnokGoTZEbKtQblRG7OjMr3f9crKchmg3fmcl+9AWcYcrNdTzcL8u/N2PgmCWzmaPktiNjlr44
Ev7eRmZJt1TMzN+/RKKn0fg+cq4y+2nILm6/lesqfk2vDwIT5D637U31mMxcDNTFgZuBC9oSnDOv
/xKJnsbm+8gZNheHe2HOdqRGh9M704TVKwfK5EBj9Yl6IDFnfoaiAk0dNAds3f/Mlr1IpKfReTR0
Z6KY534GZ5cBWq/enFTJOrt5PdMmkEgyh2m5rb7omWlDoimp45CpQePuB97ocYT2UqmeBml39Ayn
y5O9VKPzdZjd3i/Sv/c9Qh5wlDeFfBSKPc5qlD5gqBEIpD5PhgPPivM0MtthM0jO99OynYeonFWm
fk23owCLpuiP2ZL88whaHFCNygwan+73wqbe/CJZfoLJ92nMcdnP/P98XQ6va85QAdAIB6Aru47G
Vgc2oehDuw+aZ2bsJZL8BJSHOcwx2U+y+Ty8DkJ/nd3v2lewYGgzs4WtbWdbdZm5GETPNicadNn2
/VmE9hKJfoLNw1zm2Oypa0HFbPp/noevB8/Uh87QofFA9c9Ux0H/jFQMjWhbMvMHeF4k1M8QejR4
DtJ+sAI7UiOMPkfP2auyzcI+ANEvqUZF+SlCgBIgJCRlis/C5xeI8hNY7uewMznM7dNehmQXt+36
NVsz0NPEpQJrCbN19zOzaJQq6IxEcQaR8/SD4OBx0Py8PE/Dcj9uhsrFlz1FpXtzvE7zKghfs+FM
8APlSCSc9wn/jD+bMhqQBQyVtTtsJsJgF5wXivUzjHaGz6E63k+oTPn/5qgNmpg5yv4PijQ7G2Cj
Du1Aj5Takjsz33PxYrl+AtZs/BytxX6iddu9Ob0tq9vhfme/QhCHjgEOlZH86dYaGw0cCCFwHm9j
EfXMFV28SKafoPRo7Byh071F6Py2D69fsceGiwMcWUNzk9jqyszuUaIOKEGHOk6u3e+LTUo6YfO8
ND/H5n7sHJvzvcXmb1PG92v0CrqDKijXTExHOu9+ZsjYEhwcIfBZWwpnbuWAz3MS/Rydzcg5Nn/v
JTZ/htW1yarwdbNTlNJg19Q2lvsx/bE5+FF0pz2A9zhceJFIT6PzaOgMnj9P9hKeLyE6bV/7dAcS
G0ejrfPJSNt2DqbDnxK9hZv3oVqP0XmJRE+D833kDJsvf+wlNptQabmOX5cGtdHrrDhcyvbk00x7
ECzgeMd0/PM+LtjF56VSPY3R7ugZThf7yb9d3Z1qf3WcEBxw+BdkPhs9mQXaE06MEzDaaha4vVSe
pxHaHT1D6Go/EXofhK8YtqEVV+CILdidp7kEHPPAOxwHPb63gzy2cM9J8zQum1EzPN7vZ3L6Pk7Q
rP6qV3MgLXU4DNu2ZWB+q4BGPwgiaULutQlWbweTF0j0E1weRs6xOdtLr/O+vPXNa0ZruJsDdABa
09U2z9yt81BG0FCIlgOcjZ5h8qwkP0FkO26Ox+Ve4vEJt3DgTpjbVyxQc4nratAXRbZc57wBB83Q
XHA2ncHdBNCz7PNFIj2NzaOhM3g+7WdB9NNt/6oXPFAEX9wRuKrmYekf9w6gN4ojKUUX6Pe+tsd2
7FlxfgbL3SzmkPy1lxrzuV4H95bk31MBU+UAxzpAP29dy6xb7e4yFBsNUUzNSIDn5Hgais2oGRKf
P+0lEn/eVvWb72nZZqO+AiRIIQWTqE5vlWAWGjsE9wcg/tJkq0SzFPPFYj2N0Gz4DKo/97O08+ca
RZ3Mr1/V9SPVpBSN0c5PUpg714+TufenP2d+5mUy/QSkR/OZI/T/iQ74+cVqD5fOLdf1+vDutrpH
d6v9+t276eMKvdnQbXS7UbadlvB703hy8/tbJpA7PtyBN33FTlQ86yzf6O/DuNt1Vf/+1lLqQNuc
4xQPWtzRX0VgBjso/u9vET+gFRFlO7BBEjd+OM7bN9lUv/n9LUp6HAEfeuK3FxVUUxKNIegG4gy5
laZoEda4BOThjsAPJhkQmT6sxvbfb7Im/WDCrK5wQR8UPd98bJJyeiLCSw1jwGxQGjgBjvev15fY
6Pg0/T8JjcqMdrG8dahXN/qQ5SK3kgXJ23D8ImWTx2thlbJaZcVQDWJZs14G/cIyHvnmZ6XIrIVh
fWyf6kAOzTLWVlYcdzpNqvNEprk1uCbuZf5NxnXUmyXWKon4wrdtQW/t3gzNZRL0drJ2HJl71zzl
hbrwVVjk3E1pWEEUkcsyfR9QUnfZ0k9kGeeu6WSavqP2UEBkP03pcMZSnkX/WFVrMOYRpE8sEozl
zhqhRMSERnF8upUNy4Ud8XiNbJqGTaAC59brTBYVx3UqEnGciLYq7eOx8uuwW4xhjntiEuKFzFv9
+vEU/nP3+dP5bg6uHYUOnPTS0/uPMBoj7lSKqPAmojGPw0VtuOSBqzWzimhV9p1f1ssyqH0RuJaw
xjz70Ak+VGxBxag6flqrIKti15iCl/QCfbMF3ntGyNlGstEfgINqnIC6FFxgsXaFdApW1UOlzLcs
kRZ2RYT1GDu3HUg9yDPuSeykym/KeJ1GMgNGZZ6WVB47VmS1sVsEwG/aS0OAUVk4Ju2Z6OPcpM8J
ijz28WpC0Il5ZajsMRv1CTXb8T3vslxnI/9WeUxZ6WFUV3nSfCjGOsyzRVcMBYSz7LTFe2YoUjMs
nXgcrKsuz72TSpdJ5C/ScSTDWRoUWe25mSbKqxeNJFZyqVLtj+mCcd1jkZkVDTQ7JaNO8K1x6HVF
4f565WE8duaDPhqOc82YFEotk0HYXfg+CC0WlNy6UVbZErb0R9u3i1XiiJoTNytrpb7Gkng1+PkH
Q/dhYyMem46ZVth4rtA4b4Woj6ErdP7cvBmMbSzu3PgDtF25LcmT6q9AeCzz3S4Km/B95uFe1NoN
AoPY8Jlpz2EkuIwC1++hzVtIxJb2tCyPlMKXbWiRPuA3lp3YBV/Ijii5hgmz6hMzhnZyEVrU0HMe
F0NzFVeEjIELD59gUX69EHIOgGTw0MjQp5Yy3KM1A6BWIYmGOPOuPT1msjwyRZ56w6HlpZUejgan
7IHKrx/54+TRhqPA5eCMwXStJ9mdfGAHXhINpLwRqoN9XQ1UjTReybJrKnEYOp5QX8sGq164lULk
/tWQoS31YRsaknfPbAQ6V/2pVIFseDKRuBEBh+x2pfH1GEmd19Y3NMXYqXXc18FkitLeBLiDteki
MYpFmFYDy91eMw6pZEiC5irNVTQsMouW2ZVOg7TMloU0JbtM2zCrvv16zSa9fuTpoPfgggVBUxnu
BoK2zAxU03lOSYqx/9aXdYlNQJqYYLFI33FpuX3JW+sqZ3ExKU3dmeklzP3mmcWanvJdCilwYwQF
7TmFA4AN/95dq24Y+7AcZXxsZ1YZy4Wdpjb/qso4wOR/PeEfH4Ubdx1YOlAZOMg1n3DqsXRofOUf
b5SilfE0qZ4VKV5+/SiKOPTRtGAFFK66wmVxmJzEpRdypo1APSvarM2/2tLISC5ygr6KwvW8Ruty
QUfbgsPyho1lShqB95o7Vc2p5+Ctvqu5KlZNx59XFjG3kGgiRIglNaUMPNsPrinu4yr1ApN/zUvs
0OKQV7EjzhkN+HDGq2aASdZem4xf0qAfBtttgrIrggWMaacu/WL0rOMyFdH4pbSaSl04oZrCnl60
aaKP4kZOLsJUXMONDa0t28u8jOLxy5iouItdkiSTKw7hAeAkTKYD/JIPuCH0i5P2PfwHl9GAl2ok
fu0sc1nxaqXsZvIfce+HCJuKu8drx7eGznVMH+ErDEIiSB5a2RTx1LlM43VfqazIV7otaXsluBnr
d2UZe6WbJGnJ0oXle2l/7AuEDH9nTuaJLy1pKRyd7fiIntoiMwi8fr035uYRq2+DVMbxTmErtNrM
tgb3hsynOk++jjStSh8bkNh55XYmMskJb4oOSvjrJ841nU2n5RmFT0TfiP7hiVVJqqBLefc3H5tp
M3aNmEwLq+wYjlG1hVRfvYiP2IQda+rKP7cR3GCf/lqM6TaxHaXguAub2XAKaCFiArH/rq6PvG0K
S6v0SyqytOZubRpp3ZoiKBARBXGV0cPSs034oa0cH1FPHkjjH/pOzVrj4mxml7RuzfziLPEcddXz
MnEGt+qoai9rxyLhopBjb86wiUjgRkR4Ye4KT9Ep4AgI9qFpA3juEy+K6yn6aNH8+X66uzsfXB6X
vG+Pfj1jOvNLDu7uIBPNw+4u8USmszvjWHlB1hWV/bltMoLQXJYlQ2jejtO+FQhgxHFAux7bto81
x4tf38XrlsqnLc2bqGPelderaUuzIhzT8jjMGZ/CtGKsCF0VSZtX4dEohxha53XplCnQwUmhnTYt
oEa/nhKbWTYH0YUDlwSrBgTBOc4MdsGzdDRRxj47dcChW3XuTwLUFm8m1b3TY5DEA2Tzgn5ScdjK
yaSUeYFg1wookhPay+lXpohxjjTRkS2Owy6Z1qEYOqMuvKLHp8KAT1Mc/FRVq9iyS77KnbLl1WJA
zIrpPjO1WQSHqWn4Ioabo9BtIBBL7aJV9zG1k8YMn7nfTpaqLgtsrTEZQ3NdEydmmTvUphi/2Cyb
YvTUMhSA9CpN/OFwTBWt/ZXmVtN9RgRYYjk6O+LYfbwdYU2y0NLYYqJL8sm6NTCbxyHLO5i1Gt4e
Dwxrj+BfyBwpliL1BZairu3AqhcyaSKoRKBZhH9t1mcyhdMx3F9FsTMddZCyIHKxmXSQTJMfwkja
jUINqrA+taltYB02oSMLnL6NF8iXAz97zizM3NH0SIE+XkbglnAGcZ5OksggPMt7+1PVUOyQesAt
POER8g+sj4hyYeSh11mmr1yV8AELnrRehrQJRg+r1JV9Un+wVeV40cqrhQNjAIVsL0uw5PAAqQXF
r/sMjmoLm190GZayT5wMugItmuDw434CwopCihc9RLq9JCY1kETGMXxTrOop+/71ags9ixUx+ckJ
wEjgeixkYvOsAaFWZfmkHz4FwaASz62bmOcLryNedKHYKMrhsAhKlTuuZkxHgVuWRVickqThvXRz
ZFzWWemnljj30sDmi6IzvX9NwoQcd14j1DK2M5PciCgZy8vUqBR/dGGkSfdetJT049KJMi3zRYEc
tmpWXSed9qIsAq83rkpJSt9xUlK9zLJS00XU103puaZ3ijFyg6wtRb/w+7iFMrRj2Q2J21syEtFK
M9qIK5XUg/AXpKdN1xzluguohxzS8+uTOrCRHS7sMenGEck6tmJ+0seD17hFlUdq1Wrb50uZWv34
qVOGhV8akfjekoua0cWA3M8MrvLrSi91yLp44cvEP8Z9S/WyMKQbzzydEXJEOxqwlW9VTkAO89ik
4vMgWz+2PmtD+v5TX/e8PreqOrMu4THs5kaWSpWfR7v1M+PmxtCg+qj7MYmPvBCczWo0wkmNqxE9
smBhl2NVON9oGjnZTcBy0/ZLbJWhuNVN3XVkESddRaPj2ssK6SwRY8tEHXmpFasLTW0rjo9albMq
CW4DJ+M1Vrmn3CnF+chNiy090rLKg49obasVOcwykef2SaO9MEjeZbKPC/8wav26a9910vPDcOWJ
tGvkpZcxXpyoSAS+s8JeUTx283YkcOtJ5YSddn1LqKJeBl45RsNJ51dWEB51YQpvs4h1J2Bg2zxs
5F/GapSsTrA5OstbdBxhC71ockRd2q0H7vTqfYKIGy/15pdWGCZ4Dy0PAo8bTSWKb2NTaNaeRqrM
fXZMe8uy7cUQybixj/osomniStFOfpFIK8R0fC7hVNa9N6CrbxHJQEv//dDlXW5/iDwr6pKVHXOL
5SdxM2infa8iLkPtFlpP+b5d1jKIv9i+51njmRBJhZWyhgIm+xxWuwjkmcW90k7e0bAIafIhirrI
8Q67CIbAPzQhuqHKBUzWJNLQWglhh8QPhrBYkjyOSmeZ1cSS2V/MZxmel0aJ1p8b3ymKRYkcEyvL
nCaEB1lQFUxfAvkRsrhFoaeYXgQVZr/IA5pxtYqCbloxntQxXkwV1NZVltqTyRdt7Tv2Qne1wQYY
M8QbR7UuU3wu30w1qOWI5SsiZD02fEnl4WlJQJHAZTSc4KG5CJj8kyb9tM6Z0BEYMquxSkBhZbET
iNuiQEJTrMowRKS16Bw62MUidALZWEBQNEXzpY6yJsywXlYwmqOgGQXtz53InkQOgXQ+XinsLDyB
463im2f10wZTpTUhLwcLv0t0Oi1N21J8FC7WKTrI0KIfFHPczqcsOS++gUYM8DvZ50ZdxVJ4mi9E
p0GuuLkdUKzFdvd4Y6XxlXZkTZPz6uFuMRrsmnKxjXG1HOX0L17J+JyTsLSutkttbT5+v8ibzyEL
Z/G5zfIUAtDMCtpvcajysDwKMz5g0gUb8bduXJ9xPyRXIAF9o125AcqMbY2tBvavKf2TjOrBky6N
g3ZQ73XaGKxSy9IEH2E5+KtyAQrBa7Ubk2EKev0UF5RAR22fFN/0ZgVNDg2CXdvMKWAhcrRFbjLV
0eOhcSaGkGyg3WwP5cUJ1keJECMOpZ1Mk+/VEGCf+rScHhOIQOGXgymIHXwerVA09Slmyqfl3Wyk
sRkaSIlJTt9Cw7LCONRuOHZXVQeT6JsFtcZuxD9Mwo2wDy0iszg6GVGO6/Mjn4AtIodd2BjotI78
iVWoOuAbtjYrvlHlZ9g+lUTEismXLYLd9xUY+ukLWTu9iNZ38JJkZFKHdJST/Fmj/KD73CR+4oer
zHfwvUHBqc+P42qwaX3GN3sljCpd20fbJddRW0KcPuQxvgQewODhUR7G8PMtLUZFPiNyi5x2mRdW
nYULUvkeHi6jAHeeL+skB2+YgLQEZQCYgubENv6kzg38K34XD42KnFWMYLEfTrmukt4c18KQNF0k
WiRp63qVD0qOatrg80FdVHhB0CiTi7Ro8N8h7UBQSdJR0DAFKhTJRRvXHkiBrozwdBr4pv2iMq9H
FuAN47T3Ow1THq16XjBYGKcMksY5TFK42PSwtzJPVydSw1X1fxPVR7A3fmJMHB9vSfKoToIyWjVB
gnz3ehAV2tyP8yjAchzxO50pjJNgwSqvi73xCw8c09WfC94FnTquN1PvtV9hiXjejzFmFPtdJQ/V
SCisXF2Kaflon0+7Bpz5tMU3NIxTxR1WgDZsmm8dhgwvJTY4Pl+EoBktN0xGcLb4Yz5xpl1QFoNK
z3lOS3xCDXTKYVvZVNhXG5JlpDIpvVWTFaXHTnyvGPEd44bW8pCWg5ErpIjBRXo0RuqbpsidskWd
gJiQZ2msJn2qRReitODHTg1TyZU3wOdVAyxNtEJmOy1eE/KJKmCNE6PCECWZj+E4DI9Z/t0hPPOs
086ryjK80DyaCEDTwN2d27HHVf1RgEofvMPei6whWKkul0m1BHWB5k3XBgmkvgqfU6TkcIYa4I+W
GDErlaWT20ilN223kpUUm2+zklFtwPLykIS8Pe1GmXr2x3hsOuuqRDANVmHMC62+wt5if1ldPmIF
IkGmOXh5ZsH4I72cWKokRLyKyFqnpsu/Kj0EBf0m+kQlF0oV+eCtBDNVbf3ThTTqvUN4NJ5It0rA
LVsLJ6F2+QVVkS6uPxG/iHx/4cmBB/1lZyO2KW50G7YF+7vyHFATR2XctKleWGys4i+jaJgwbgPv
0CPZp9QgprRtqRvaYJenkWaLFr+07Na1O9Tb+uV2JhssizwC+brAuc1hmtaduUmSdrJ/evAna4Lo
f1LesEqnT2R3zLgXsel3khILnxj8Yfqgx8FOpIfI3Ke6QZh4OVTZR7ToXYz1QPPDCIo6aaVOp3e2
WxYxJSyRRo8u3tpwzZM5tfxF2Q8lt13KSuJ8aALb74zbkQzMtBhGT7OTrsgmLfetcaIDK1S/8CIQ
ltUnxUiwvwUBt3+B2skkeRyifvp1+yBZari0AlvFutpkbFkYjXbsRlneiI/xxmDFG6KxQGsddoOV
FBMJWZWqFGKZ+mlhPDcoVGNdNaHMMee6Q22yPQ2ZP4VxgejxDLtNJrGaO4WzTAw/4nqymZQ8Z1Px
dJl1/bQnbW9kcejKoMrS9DCIEmjjarMgqEVNRi9GByC+V1TUis4CxhPbeYb4miX04HJgH7CDGYyb
oj+UtoIa/DxqZuwqMEZBatv3e2hDZ2BmC0tMGpS0IF4Ctw2LSfZnsrtdvmt6PC51QYPp5or3OeFc
Nr2xusoGVbUxjRE4YEiBPACa9OtHzYgmaBNB6zCeBcoK/1VTWv+o+tM5ceF4CCXv9wiJe2MWRe4J
8R63Nky7W6tgArUJIyBsRCkA2dY4/lqWXQoBPU/YPw7+2oCjwOpjn7NdWbyWM9C3kX+Fw+4wY6Gk
UzxeVbjo/nA0CJ2fW+cfH4iuHhAHytEM5KKe8YooFRCapMS7LPoMjsKP4fFP7CGGmdtq9q8nSCfa
7lHRAjOcOrUl7hh3GG4anROZfRIJP6sTdbm1GF0wTqT9oPgg5aoXldOuotwby49Nx4domTbZZM95
CdNgVaOAP3pGot2djjVHKjXdssVtLXFmfV5yGjSxOnvgxWWyUaoOcR10vG9iD3Y9dNoQEASiGaCZ
msM5ILSwgkmQKOdFMy7aApn9SqbcSNREYFqGBUx9gY9DPzx6EQ4c+eSi29SK8o2Z/fUk5jACOBRo
CC5BAiVL8edEdvcN/G5Rs95qL4IqnizTeBcI5ZXMmo+D5TQCt0u/nOqSKIDgRgWybbmfTh/vPs/u
EY3g0rLmYuv2ej8oIpcYWFbjlhUuUPnfPQ+U/3TLFhQDXeXi7hDGYx3lnQcmug2ji41bQpA8oWHH
CfQiq4rJYfz6gbMqFJI9dGjgBmM2nWrDn16blxoyUgde1Of6mkQgdLcbkKl4CqpKnk6JV+e0Wbog
qSiZ7dplgpqAmyBoqxY1z3r7c9QRmItn5Nq0iDzSILB9KMTd3Z08la3R7L279oSgsmKHQXVUjowE
1SGT/VSrb3BDSWP+qcYM5d6FqXywo9pNvRH5nltLv6bpGfwtWoP8hYlzcDfvmAB7QD6knvR9czzA
u0tz4fVhTPth4TEUjf6uiiJFIlNGTGTFYZo0I6sXxBBVpUunlCDL3vGeGq4+6E1FLlZIJ/h7L0tp
0Z/HftBqtPI0rQopWI0ILSTHSBXsMF0mVpTDnm1DDNvCsMCNN4EBYmwH5l7dGaJNshDfrWYXpAzG
F8nd5Mi7llkISQ1zEOlnrMFyI0hSjX3Bq2QKx6xNdJKjxQK4kdyhY+jGVZ3S0c2qUmfhUuV2EjXu
PWlRwPEF7jYUuYuBUBvrsL5j4Uxu2C5acEPIDmLFDnPH4JFpjLygPSWoN4T+IulT3OlyBEY+iZLP
HIGr5hdqqLXITyJFrCmdr9oSTOmwyaR0N1S8WAZxk4I4BYdio07gRkHtGG9hNcbvSOoW+CuOkn3Q
hc7t7tAvoJ7FJznodjSfUDGYalKI4ghTF6auUAb4FObgi/0l9jmK7augLCiNFilF2PjPgOSxck6l
6jv2lcp+qJ0LEF9e/jHTOorZYZRVFkEui4sL+3qBFjN05BxmZgC2y65nYzm4xAK30C4QXFHpLAYx
eN27WFd1NbpoaulC5MPaKVHZDANSHQmS1N03RdJ4CJaeQMicuamdpeVfGbgTq3GdTdFsa00KdNX4
6p2TwvJGqyxIFGsQB99FSqCup0hvyOrJbWy2RnIXz2V2EiPpKjX6RXK3LYlKKWyRb2yIweKYuV1s
tfoTzLBxrvJMW8kqDaUv3cD3uys5hDJaDmHnHYWi5cch4eNJWvbtMbgIc2mXii16LYMLO6wTAta3
LT952NTHwpemcqF9wbeozJO/fBKaZa+ph2wy4fUR0lWQQiyTZ05OvpoY6ph1uXqnujBf2iIIgC6x
ylVk9+IwMmHzfoySmhwirq4PnYHwBDtWpddB3lwxKvKzUlj+WdpW9aGsQCKjTcM/bk2jl4HunI92
HhToDsrDm7AqvGUS5L47iCxbSk8Xp87I0tXgZajjZrkU+GpnyBYiyuxVh688cZBRfSt70xyhe8q7
KXScHMU9TUZ30JFcBRExV7kAu+4mIFkq1+LG/9z1o7NOrEwiGW/ST53DwkPCanIqiA5C11gWfydA
tK3KusLxi8j2PoL+C9HNU3N9Q1GsQUZCc3rZsigIV/mQWYe0SuvLqhWgDGAKltXQN6e8KofYlWnn
LDxbe4HzV9gyPZygh6C5rpiI6KFp8hqJSpgGg9vi7zfcOrW006XlWeVpqtFQsBS0jj72LY+R6aTm
TFY1LRaeE5g1iar8XY9bhs4qRacd6smpCuq33WmPgPSc2HF7Av7aOg1jHrClA+t3Q7uOZ+44OjRA
4ptbf3d50d0WltUvWEjHdVVFhqEnIEdb4zhW2LlBkicu+onKZpmPXdyfqsYvfJfQPLwYqA1DjKRo
0XY84afo5k3y07IvyhXLG3Ymk7R3wdV+kd1wTRrPuxAU6tNW/5e5c+uNG8m29F8ZzDsbvJMBDA4w
vGSmbilZsmTLLwHJdjF4D8Y9+OtnZVVNt+063Y3GvAxw+gBGSUomLxF7r/WtTa0aiINhX3VuNkWT
+TVp00ItZ85S8eq5Q1UVwqDuZKVHUAxjXfRdxqtAJ+kbvOW1SuJpOa5o9as4nNUHFy3jB8m8GutR
qe55Y377LByf42pz2tU0EnyoBhwfPNMSqhkePMf2OnWlfSCxZFO97GZ4G2a+V7Bp5he8wmOrODfR
BwIb4IrHoqy1COl12i/pmyxzdztAsTcwDlKND6WqojrY0FPq7jYvg7WvpmgkbyJAOd+UqLCGKhvk
9pDbfDxgoc/zmvR7cVLRyh5A+4HOsEw8x+vCj0a76Dhwk7+JhD5bdLrP+zbv5XHjqa+Gbe6+e5yQ
I1OF1i0KOf+kBMloJdINnuvYqSpkxlzlZOTHDZVkVHWFJM9kUeQ9cTz5OAi6vpvd7N81bvDGFGt8
lwINOIbYKZrNbeoJFWJQZXYxt4GQ45c9XJdjMkUU3BIE4TPzYYq9zGFFCoe+hKKTjfmpgLVSc7kM
xzHT4hnkU4LjN/F1FC7JYcgT+QplbXsgCxOnyE/kaZ7FftPJYWtdgSUXjezcn5c0VNdCp/ZhkVR8
FGWZfk1Gg8Uh3rw5p37GwwNV6j5KlL5xorBXvXXJCuWlXI40n9MGDS7ITwgX5GoPBL2llIkPe1yy
5xLix+u2l+ojNvzuhIetuNujQIGEzPvDRGh2C486Smo1k6kpd78kuN/Fcti7YH0YIaI/dG7lWw22
IzwIO2yvXOm0Q3u877eCpPoGuOOI/n5eP3bJTmas2bNrk2IsTxFcu9rwPb0vTZdAWxfBt4DGILRu
fZbuPan97FCtNoWGKF3ejlliCtWGmHExqWoinN7agHcP0Emmc5D65WVS4g2/00Gq7aMXOaOCGXQx
nB0ZACdmPOqvycrjLzqg2tYTs+EdYB393MfGbEcWT0laExYVNyldRXkg4byQ65mVvIETm+6VgWPd
lGSfi2rYFTHVnNDlvAZw7G98sBU413lolbjdiIFVEzkR2asl3eb7xKXBh2IhPa9zJ9jaMsLF49D1
Zm5h2np2M/fj2jeBWDLwgpRGwbEwUu6PvlyEZsdL6RE2ZHN4Y+uIs7babrwe0VWLqY4KVC51Nmtq
7qB3DLJOdNR9tMW++noNp/wWMBuNGhuhRLxRaKXVS9ajfxNYRwRXWY7CqVsABp2MyovrLHbhMnzc
E09jU3m3hURfx1jswqsyhaZ/3Ca/iIYZmeknEnTjAIamm4ioREC7aayDlLinPgH3UsUsnT6sPgr2
o0WrONRhscXhrSWDW+pYQIm/KyYspw0w271ZoU1dD7Hqa8TuxmsVeCeH+8kHOdkTnP4ldHMDpWUe
L5wVj7P5Xql0KFXj8yGfYkjkcsXzUMKgrHXk47lNIz2x25HBX63mBUJtvSu3LVUye1g3hR7G09Kn
2dp2sPruxh5CZzO43p2SDi8aavIyZAVErUFEV2MnOAxFnRW+ii3861zF6hxkxBX1PNBUVkU6JhDT
oLq9RDwQ3wxBaZII7uPjutIoaTvDYh3XKOFYsNZw1wGT2apg+aMP0rVAYaZL3081VlKFH1jDoMe0
HSxCW5m3jE+8yrotcqQd5yIqWMtjt2bZXRSYXD/Djp3padjK9K0z5su+s+65Y/xLR3g2VGgT5icL
OqOlJRXHEJtHiEUiFzCwiv1m8vF0FkmvD4YJUvON77wqAHvzap6z+UksU94IkftKl32K9dWo+avq
6H4o1glGXOfoHTzCMqwjJ+3W7Nhs0gciWfJUAAESTW+g1uB+wA1TgWiz36KVjx/4tsiylUXR3cp1
WZ/0JlXXatcZegXdtyuqYHbkal6HrYmXbTqMG82eljGMWqLYejPSLLiLR5fexBy249pJ2M8EbVET
xxQvbdeFPu4ujqcKr8Cd5iYkZpMtj/L1DALQqisuLK2ItKGrt7Eb6jSXhlckmilIdCCN+krm+HKt
h0z9tFO8K5HCud6OAxyyRuChtNXuR3HGLo/Nv8/HqekH1Bc4BPqIXac/6ILktV44exn6LvoC7cwd
gN2Q4xqS+VDwYngIhlDUZs7Z53CZn6cBLFeHxu1QxHR4XW2s1ipL1vU1Cam41nFCXUWFG8q6h7x5
TXmML92F0Kh7Z2qgoMn9gLbk2tio/zqypPgy0i76PEaJvTXwXpuMb+tVAtH3BfJ5PF7WNMerZAi3
u5zSBHUrFsfLTZh+TccLKuqX+bJru1i+r6YM+nbKe1iZkIPX/GrJln6tpeidglu0r5D7CjtEdTJh
HanyoB+yu4nL+J0xpsYqnnAM1TAVrKxH/N0aAhbuCeZ5djXnOi4atPBmEqi1xu565qv6xNG1sXrk
SRJ+wcZrRUWC0ppToMa8UXwITv2Wxc8X5/8Q7WbUVe8Dfp9lbnjXpuTYHtB5HlZNwTOtNEtuYb6J
G+6BhVSiQ0lz66Tm72OsXF9LCIWm6s3kvirl8azgoUSfpjl0yG8GvpOp4KmZdhlMcg2ZuQP01Lsd
xTzAz+8YrWzoYS6Yukk9+rcqQDmimoluQdYG24zkQLib7EXJaXotuHH1KBPZTGGwhWdti+gJ/lhJ
wPWghqtyZdl0tCiqrrH6LbZ1G2MDSjmC0hMcRrCeE2ajoNb0wtL5Ocx4K7gBfw+mBDdRnbKZDelo
Dp3JYYbMYz2MKNJEe2ljTU391seoqZOF7p8XqZfxPl4jKxt0FXTEkkbydee1iHQ3+WMQxsOS3uc6
oWU1RlufvE0AP4OlNkHpBnqA5TW68G5ka76SGt22S3mldzZLXRfYcDPfMDhQ5VRpZEJS3yzG03m8
8SWFpFNLjQaMP0wG7HRSOYRFiD4Izbf+c9eN6do1Fo8KjBCkhJJFVMZta64OHWq15UozHcy/yU06
k7UMBNO8tNkGt+yJhjHckyMH6qSWRvg0CIeHQfMR1yENADzpASwyVHwDCBxf//sckCLEeZTD4hvC
mcs+ZyKL2dMfcmvAL5aBmshF3Iwj6vgNYv0X8x2O/8XJwHO4F9+6lIYuP4KM3vG8bZEk/avmlgWs
Wkpg4AE6WzrYHFsElmP1ohkEhfJWoaB053AgoU9r3Um9jccd/hSuFra8YR3ek1IvZm6ySWm/3CQa
X2+v+hWchKyBrSQzfUpUxvu8zYGa9sl1qPXmV5BEvUKNg96h2w6clwPW40CtzQiO6C4GjoXSnROs
mJ70KKLK9NirYvaeQ0c10EL7GlCUnmzadotL+6nlFswMgXawrOXtjtKvbGkw5RQ+lqGE6ypKN5K2
hd+T9Ajnbn7hpZ6eA/AxqopXhOKqVOPZacGLzN/CZUSVhQwNE2O75pKwxgiQJq7a4w324Z5r/3tW
55r0nXmA3GlOUHL72zWkST3Gub4bIu/nliczcCtDYOXyYHoaiLPF1YYSrqiShfu0cosdl6NQIThE
V3K7ILpixm98D+mIpTWdaZVjH9WNSnb/KPvAOhQIwdSiAkWHSAeeZUeRp2pu6Fy692CnzvMq6uwW
PZZjP2aNxdTzrwLzoUUlB4PWYNkDg25EDBFrUU4IedIsG823LnAXxQUVdbzU+8i6A/JjhgaHWUcl
8Jp4I0tNw3Rd29SH8hTJtXidzJRCsCxo3K01BMU+Q4daeHmeyzzUTRxmWn0GvADwARQqOLkaVMZm
UCBFMcggiFvnDp33XKUb6vA7B8vMVTYZi7YY8+k66OQKGF1niGiBjuMz4IvYa9mUS0ZgKgWKHZF+
woUpXBdUCei408anbag1BLP3HcgB7g1KPuggXPE9d37II+4ePC52kxJaknYAHfE9AH4E8XDg3W2A
ZVh+QXNp2YdimMWl6kri/oQKJr8WaZH171giE39MTDo8rjahdwAdu2+diHDmS7s7AGdUQxnZ995V
vA/tc+ky/WDFxPAVEK+Dv1vMK1bTYkbcYMzIYwT5sGjIsNqrCKJF31jQLZ9skiLfmI0yPS3pMAAw
FNnTRrv1oOIl/JwLGVWkAEnIxLSDsZe7r5AO8mdkPeO+ibU0iDxNCxB30htirrpcgC+Tyw6gs6PW
4XDJdIEb0A3XfCl8fIDHA6c0TBB4bDqTGCy9ARILfaV4AUAw6eSGomDx8i7RXN92cWTKJsw6XhyA
MvCP1hUK3LBa8C3h5xdfUsHKrppRgN9vwaXilRiosFSoqX1f5SMlAErGrWcNNvQB7BTkkod9hgJQ
7TnneTsaIHJNEs59u28Ov9NlAOIAfsy8MQn/zUq2tDGVrrYq868FVgtz49QieDNtpnyUmVAaH5dl
GxqCHirQHK93yUTjm5JNYwHQh/q5EhElN0HA4nc/9eO1C7h8AG031KC44jdk6/QCp6Agvu4zOYi6
sGnvG239IKtJlIq2mvXlhPVXJNPNEMU+O6jcZi8BZdydoVyNCcSAdfbVxOfotSdgFqoZKMV5BSMS
toXNPJoCEiOXsNEwm9s5GtjHMXPC1tg3UdWhPm9YIrbyct7ye5tYyNBJvNJzOc3J5w2cRFcZPb0m
cl4/C7WuFWLk0B7BRAJ16gxu+Um8doENO9RWLqgDVB53QiMkKKG7fFk6HVyJAQ91I/qxuFdardcq
25DWEMV4C12gOAU0LF+gGPcFboMuf+fxnrQuDeWjET6+GvGeiLgeTGkv1Vo4A35ZIPEUUpYnmbAl
b3YSoHCae+KOSxab6REp3r4RELcagVs9rbck0y3Kl+hm8SsD3Wejz4x695lQFVVc6hDBwmxs53Ki
vwEMDps0S9VziXL/GKU0el/BkH8O8StZFTicOED7n5GaKe8cbPojNwpPXanfgBirB65DT6tSrWGE
52B/IF0woqKJ0vmI/UAsaDNk0pQF8BL89q3dYvFpgNjRlA6Nyoas8145Fq0vQTmlTwNL0rlOoepf
cb5EMLPASo5J8tVrqP+iHTn0IPGODWqcTQMXGzmkz+ho15k/ilSuaXavBrZhlZdleaGLxIZcNmx+
54d5g9cAy3C9Tz1gGH+0MdIWcZOsoVPsKtRsHvYroNhePdPe2exrtqTreBrWclZpTVMRqqApTZZa
gcVrBI+CxBcIh4FEfR42QOeiHWVjGfq+FmMuQnelvYOKWeWxyw5putjyS74sCovKxsfJTVjHMhZm
Deo8kAZN4POuA5KSgpICUIwyHlyUR0YbDw1A9DQDzMn4+j3cAl/IBpYkULtWcutHBs+x70bwPryj
Fwwc9+AGG6Qbuj3cPpikVGhh+sTlQryspaVmaGClluj7EPrp3XAehlXqtZEW042iNuSJltu7HncT
+Qp/hfe+tmuKkqzaOcPKcKIIEQ6khmJ9+SZp3oVkOrLOmWL7pINuj7Oqp+WI/waavcjdTaAkGuab
wUs65bULSVmYw7+25372kuEagpW4vGnmkieFVXkJ/P/oU0IqK1UIzv/7vPJLCsj8QYMk2SJgKcuC
pRrwlgldgKhCP8Ci+zcH8LMRfDkAWOqIkGJgJ1xCmEI/H0CfeaSIur74Nv5xAPMfjMY8kgl3XLDC
F/vDKf1zfsLDH87jH3MAvq4cGZSOqV/++V948/plVK78X5ff+vtP/T4s4R//+rjO+L9/+SN4lYVY
5fqb+vWnfvq7+PQ/j+4yQ+Gnf/xlnMM/Gdjw+F3qSf2T//jTNIefxln8OM0BE09BkvzdNP/LOIf6
DSF9tCk9rO5/zHL447f+HOYQ4bXeUYLsTHgJ+15eJv1/hzkEeP3031K8wfgS6vg9fIYs0Z/THC7v
cY3g4V4GeSCXD1/8f/4PuLaXgQ54V0WW4A/iPeEleAZQDf/JQIdfPPDfXX4EevC84f0jCPekl5vt
BzJGAaPnm9buvNgEgV+LnbBaE0DL9VhY8yEPMn89OLOMbRiO6lWtqXkeU+lAYJFl+/TD2fvzNvsx
Ix79/Gz9wRxgYMHlFg9hzOc4Iz8eTbp4PhKmzTnelujcjftCK12saOidUWCIjU31a2F40FdiLtVW
A0vCVgDEuUixexbLN6JUeI+/wVDYTlP0DJSjjI4+z+j3CIS1+zfPYvxLavZ3SgIZFaA1YMnCMv6F
kkh7SBNAANUZGYKua3IkIZ5Nil3joAq/Zhho4KKh6Qv0wHuRozTyY5gcZ+zDESShVX1jTsqo7gOe
NZCiV3RDMwvhlYlsBFy8Duxh1FCW0eDIBqYIeZFsu0FqInMt5l3kd71gZj7+6+vw18uAJSYscCFy
3BsIPP18GQofoIHhkzxjXAF5Wbsyiqt0jHFr8EW7B+sEeeI0mj7/64/9eWHLQsiQgEAwZgjt++X/
XQ7rh3sRYleXctkt56XcozOYcH2GgQ/KnrKXf/1JlyXyB77i908iiFRdCCukii7TwH/8JL6AKdyg
rZ9h16ZvCAWJ6UhV6eNq5KwNN+DKdRL6cq1hxNn53900vwJS+JaIeGYY0YHXmmF1+OXjAYX12EDg
2BTbmGHAhc7exulyDAgqyBYNwFr5EJf+aKfNwowb1+I7FARkTIhPb10ODaBO7AB1f4DD/gzVOE4a
Vnr/nQeGN2EA26HOYMGJE4Y+7/rfgTN/vVDAj7BsIJSOMBz2wp9PX5jrbMkyGtxFms5vPQrnroqC
US1plXjkd68t68d3YOnwWvcN+C429b5GG1L8pop9X2vPugIl2GC+94A+v5mMswJj7v++Ev83awmo
rl8vMnJzuIkuUxIRd8qKS7bsh9spF2UfguBO7oYUpB8pG0XYfrwkmshBGa2BnG7hBzP7TGPmBCsg
XC1HGQt+nFKOLPW0zY8cU2lcVUy2+2SHeb3yEoUVzzb+DJ+sbCiY1Fqvw9AjnJigNaKDXM6WBxKN
FGrurovIUKHjB0QUGzaf4KdMj/HQPXTwx1w16WI7K7p9VPEcJE1uYpzI3sdYG1K971Voy+F2Yln5
SkOotywvo9sd5Q+pbchQxeKe76+CUqA5sr7cm8hmQbMP7iuX8CI1gFh0jrMqDlRu+gqzNuKPG8P8
niMtgqivdjbSd4IIGyTMZQu+6Bk+Oof8egXim19FG5m+9YbneO6TeXzqCXVFZVA7XgsqdO1xHlDN
x+QefoFrUbNuhyhykWknwIEw7CziPrWJGW1nmQioouSeURjFDcBldcJWE9sasYUctX0xfXZzyG5i
QfhTBkXqqMkQxEBi5/2tzFfRytAN+8GMZXcIUFS/QVq3vwGB4lkNYCnU1dLFpjs4Nax4OKxtfWd0
eRArZc2kkvm04EeBeaZixYmGg14NchgC6CIWaNeaub1K1UTrRAXLDMFmbLsLEPjBJlHa9FKAlhlw
J6lDoiyRR5cU7jaHgDBRYIybmucKbgzMrm+MsjjeX6UN3EU8IAJL+fo19vOgEgEtU2sentWowBRB
nNr2I/ApRcGh9EARhnhan0LMP7gafJLoWuMaUBgyIYGAwuBtNgul2A/VNNqtxcSALqzFpCJ6z7Yw
B1kw+sKyxruJqNtcqgR3lKVrJG2tsRce8oAN9N7g0cm7eis5+v4owcCDwzL1glQouiG5tA7uRB1Q
EhH0AxQUNmAziowGI5iLcbBTMc2tpKgKDtnSzXtd7hlWzCUe4erPTAQTcAXfyQeoYaCb164vfwu0
KfqwCddYAb4pdXnO4ADS6yUpVJEN9eLktvuTDLG6wazqWAFAXZp9OxAhl/7gp3z2p1DKmddZDAGg
Llzmp6NAPC2ocVnjTwGf96iBHDzODf4XBvewRwLQEGpZPg3zTOarRBA1tSPQ58ddqwTmOqS06IZZ
JosF5lrM1JEKw5cnbMbJNTqbeDxojiNoVzV1e1tGbkdDMnhu7+YS/Ewb4FERILMifS0wtWtqOpp0
uinAMvKqLyTqkwUzmfbvaDJJDv9EwVtCUJdtV1HYpydU8mNeA17akqZfe9rsmo7oiq3gBEk+O6R1
Avx6hxAx7MFNSKf0EHEKgqBgpOBthBFI6xXrI9u1I0kZBgPg56qIQL7A7dMBS3W2h+gLvyL4ItCv
e2RG8BzF52jH5KS+Kk0aJB/9ZGN9zjnxa7Ogr73L9IItqQPyiF8gENGTA2KV0fIKJ2Rh1xuiZu4g
bbb3N0h2q4/pEGdvmaMQRMsINy8iJuDcWpnvPQ4eZBd4wASR9hqtYdsjVvg6WYvKYugG84S2zb5z
wRI4I7ajbYkZRPBoS4q/k00rgqWLMNEZ3lOSfpAqiz5GCg5DZXNkV2uFOJ5rEWIa+pOAhQcrvYBm
ed8HBXlZwu1ycw7DJo/FJJl8cD5VZR1uFteG2QUHtoK5iG6wg5EXNNe4u2eskqLB6/zceqUkofHD
IEDVPMblQtIrlw5W3ymnLsUn8+4hG4Pctaud8dHruu8wB+JZ7QBDisuXvxy6xfqE44KwdE6zBd9C
b8igVGxcx70mo8Gjw6du7D8sSF3CNNWoCjr8N6ypsVrY/RalHlpHwlmIy41ct76bAwbdsA/1BpsQ
BHzSerOBo8O/YWrjG2EBgUlyqZPVMr/ANiHXYJ37skJwccR9Aff5zS7wAOBlDP4xUS6UNx3K3OFm
5SBwn0rsFke5hNF5I932ijka+XYJx/Xx9Vp2RN9gUAo0Ky+KDeYmEOsjj3FaL9a9/zpOY/bgtISs
u2Gg0PjJ5nMnT7BL598QzLqsIf02sQZ9QJm0PWg0eeAYiPUpCOl8mC3vIB+nWOa8sOyxB/V4A09q
yJosFjESI1OWYjtiMXkRGArWtVO84DHZA5qQq3RZo+37jAXZX5cRbqkWpAvukSGDwXKA5WJabDJ2
u4mEjvOakkkZ7LSJCVF6b8MXQYARBh5l+vVOlIi+AWvzEkPmosKAmonxp9wcXWAoi5k5VxyXxdYB
BBsEoI1Rd84XMBOM3KqykKd0hqhx2u0FcoQfLfcjn8Z1vVtyl94GCoJ9y7ZlNjcdErysLjM5s4+o
ROS3EPwqSMeil6YambSQia0pN+wCfnuaYPD3n6N1T0pTAcYZ/TNXYCnwxwAAtQz56e46oNy+sy4M
DFKTMh+veswc+uBkQPejgIfet/2ucZP2sRqSBzdOe3aec34x6rkJ87s0YiAQPaob2VpwBUByy6W/
OIrFjLVDyqmNXOJEYyYAOccd4Xccauq6ovEUJkRNOWzxT5BOo48DE7jXsNORF9zrs3xYyIJBVDrm
BLmxmQFwcPoVwWBbRtU4muI5g5NvGwu2OQVqNWF8wUYxVA2bO+7olvcJriYaB+9u+0SN620hOEse
QKVM+RVS+vCbeueC7m4UAbfNLGHvVajGtLqbJorjF0jiHSQrRwbsNQyv/Jbiufc58GUMR2EFXvCD
qvQ/UlL+X0SSn7SXfybJ/H+opERhiPL77/X7X5SU/z29vb/9Y379ZdjkH7/yp4xS4gWqSPFgQA+i
DxEEk/zvMkpZ/i1F1CS5NFVAfX7XSv6UUZLsbxhQnxV4Pcql00KS5x8yCl72gP4Lb71BtCFDu/kf
ySi/qACXUWaXzEuErg5DOv4iyQ0Rj1OZpMGJBEE6VP3g95Mmqfz4wzn5b3qaX/qu3z+mgLdD8GlY
hH+dvrlHUnisXMEJIZnoI6Y1wHTRYXk/W0wf/DdNHk7ojy3y5bMwAQtD+7ApYBhY9kv3hGsxSGIS
evLRSu7DXJg7RCiAq+6he8Aq3f+7OEYS/fXroffPoyzEbBmMGw5/aYvdKLMN4Uh66r2g2Fi3Vd0C
oe0AKAIKzCDwWPICKS2JD6GG8QVTG2Ptjjmol+W4ZZ2uM2NSW2m3wEIYenEiq4NU5IkI3xfXX2A7
SY5w58jR7qI/zrmPaySFl2vYMvOHacSArikQ6jlS+XKNsVj8gLF8/Zl61Z/TDoMom6Rb2BHl+HzV
dxLDR5ScP8TInn4Hkr6/sDEVLwXv7kLt+9YWEyow4I6nPU7GuzSN87JmQ6I/xFLPv+3Jvt7v6OOf
47AfqgWV3SHb2AI7azboKhd7CleKaV77Fh9LEyJ1g/E/bcTA36ChkTdFpNYzTFfEcVFbvoVTF5ym
/AJUicCeNg/lvkodoTkE9Hj9KksMQc332QHO3ZmuUP+g+hdlegjR9b72Y0Ds2DgmCuxahbdIKL/i
TdOZl7ds4cOhWApUlJbiPq9DhsmAsCDn5V2Lgr8OmOzwaSBj/Eig0TO0p5J8G0qMKkEhKlBaz7Ff
R2Q1encQpoS3hRAZex/ZVGY12ODpPpwA39TIM2ANxziUGw/G4qX0OwZR0V4A0bqg0sMOuDkFJHSP
cPEjc31YU4fChSG528ooFK8Yy2MOqwvVoTQQLyuHmS7fxDyzI1vYVy8G3nSIRd50pESCINozhioE
J4ctdLrbpnn/BFEh+JCgML4Nd0RwK+miEXyZCYNm7AcaVsGKrGneZ1cUIiYiQotsE9+Pt+HQ6W+d
zNX7GPlhavduz5c2UD25ximQmCSSf93UVFtASedlgsiHSbbfwsRZeIXpDQ2Uw57XPRMJB2yjfDoG
vITnAqoN1p9dEPhPwxqjTfKq4OpmCEQK7kV1iKKF5fCG1BvFDxdfEqqhBq25Bxucb4/UTvFtjqo3
cyi3qxIvqsatjafHwdnDvMsUYZDIfHdzERwyEag7DHLa3xWG7da4stk7B0l+j14CUbddqcctU0GN
ZMYjYs19q7P9c6BFco53Frex3+U5gMLTWpLbp2UhuoYCYg5+Tj8sdv5UJHSNTz1oOpNWCoSj/7rk
PWIbFHoM2nKNmM1U+ZLHQ7UDhWjGbh4Rk4+1H2s/bfl+W9rJu6uJhJgjWjOApmFFA1hBL6O0GIWA
ultL2+FErFujvZHDxxQDCzo1VQhjl8Z+LLxiLYlk0QGhBz2CPheRtipD+1wRVS7L0Rqklz67IMVo
GOQkY7BmpZVh00+BLw9yQNWaYhCFwpyA0e7doxmzyxAZ3pvunG9AcKsVYR370IFVK5OK55tkN4QG
Bng7RgRkrzEHwYws3UID1qKSJ/HLgCB6dtiQPim+FQ6YVsUUppxcjx5DJcXTOKNogXVK5PgaZHx8
ImbujyJcsAyvc5GdTKiml4L64JLMjqmvrM6T68yZNazsbqyusoCRY4ae9xohpu02ci47QXUKi//D
3pktx41kW/ZX+geQBsfgAB47EHOQwXl8gVGkhHl0zF/fC8zMSklVN2V5X7vKyuqhZAxEYHI/5+y9
NvKGiTl5Pnvi3mA7n6xUvfzfTiCDu2nqhndpFPSvC1FUW1Sr5qHM8PysOtr12L4y61ApvTgyzvQ2
bd7NhZ/XAdoYZHflqbYsShGnd8RWSFWusyZGaVV5rV8o3R1XeFGYXAeB94rWOadO0Yq7WYF3WtmF
1iEf6If8ZjSt6qvFSOyCLxKH2xQTPIo8L5/XcC6yaNOARTtQt3lXmR3LtyxHrAAtpgeyppz8RhvS
ZaABQ6PwYcfxb7bW5t/YrmaPpt6O11maSGBPc17ehXnEhlsxjRG8PFLZ8dxm6//uAj8h6/8xiuCv
yRidssUs/D9vA+8+k7/8t6bM4uLt+6HaH3/6x3aQzDsIdLqz2FKFjan5r92gueRSM237xEd+/stf
m0GkTFjVDDpAn2kHf20GGbdhs7EdG2+tbTDm/iczNfuTsP3deIHZMKMsrLN8pjQF9tIfO88dKsmi
SeJyz6BaDBsvSk0anUXssQjBBJSFQbFfhIl741HA9CuDRMHzICF39llEi69BlH+fBLH5JLHnXGPO
L+56JQMgH4LNF3uGau8wWt9XzVK7U8/Zp5jXC27ZokRkM6YyXyM+Q/cSsZs0L9xMi86pKDXcq2z1
jt1cZ/WGF/gi+ZqmQfhpJ6NxjZun+KbyjicAGY0FVVBZsNST8TqNAguMO/QGxiOaSQMYnS+ib7tI
1pg6jejQj4pCtZzkpYFzpPJbIzAPHW0jYBtQJT0W62Iz0mB80XO+FJDSoP3KUUSP5qYA7BV0hTJX
LgLOiA/Opo032eZhDArZ+DDDynSDts7GtMegb2POev4t5oLv7cAer2VhU+Lj/Aw+Zmmjbk3RpT5V
LId8Lt/syYKT+lQMenrrpWxgccBGV0MXFPeVcsurVjX9dBprfDlrEBtoqin9WPuzHOuOrwuQaXRf
K/eG8phNn0RkvEpEEORsgWIU1haOzhvaXNWrCF33OshK6BVIU3SxDhASFGsvG8qt4+ZqZc/OYazy
6gpJrHdtg5iOLhJ243vF+dv2Ze1dIJiud3MUDRdR5xnbkQFfjqQJybsQtXujWdwtScrb0ptce5+L
MPfzoBH3QZlaB9TM5lHLYppUTE6v0qZGeDpb+bSRTiKOlhoGv87Sjp42ezu1Z3vR8puFuWXPU38Z
5rx+WVjQTxWSUtP35tqWPg5K9QEJxd3gFG3p1w+TdzPSpF1Nk+XdGSgKeEnPY7jxRnBW7MPNVyNg
sok9UrMhsETa8ObOKSpuJbyLCoVduKW5Hh6tMSnifeDU7XzousmYdnHQaRcGq+WAo5ImsKmPbgGI
w/SS9kDbyoaDNFTdrUNzOr2IzNG7rlxNYFGDTPdQiMm6jPC2DiGicsS7KxfVyWzjEmlmcxeOk+4F
7EOTAaqpxolo9pMdl+5L3TN71VpvqH1UhGbA9dGGfgWysKuHzRJzv0U+OBvdHsOP1h5biSzpkNX1
FD8ZFUiFo81/sFxy+zw7QajdTUOj6OsGl0h4+lPct+opqvMzoK7wIusQV73TjMLltTLMvLS0Y5jr
TrF2jEx/sIFwbeN5wmwzt/MmwBO51QFUrWCtZOBOwuExbpEPal5UXirUSCh02tukExGblMpgg5gg
KqBhFA2PUgah3PN4a/dFaAa7smlmxhC2SSMdUEWFB8FAtgQ6eKu1hgo/7ILvsJ/0eMR12BndempH
lDWunhzKDiXR5BW35Yz2OFHBIemRlnowho8D5IyNM6L0tVqkQnU57gbiBT7smTdNFjR+TcNpdEWy
m2JDYMlpHYhB411LJMIa3MvObRP7UTQ4j5Ou67BKdOXV4Oq3FKnGqm9mLtsi8w0t5Ow9vBleFTLc
BoXyFZXZSUdD+TWZHAgwRvACTHXYj0Od3RWyd6+SvgSLukiGrUz118wtzW0NNRY1fjTtLDmf49qd
GPzprR9FKgORnrL+o/f2RcreM26aslqn7vxSBo7NVtS5mqvmskWUjdA66v3ULBH/BwUeX6npl00T
DFdSZS4knfKLx9t2V8TC3cQBeCASPZh3BLbySwhG+7ksY7RUvXZM8hh3WDb1iB7C1zI20HeKKEaK
McEj9rqSuq9smETWlIZ52D4kXdNyYwzaLmzGb10js90UJdOmbQZx3wsjeDVTKD2rMYisBXaYM4xk
NH3oqJnTvZlb9qmoYwjQ8HHiVRWW1M1dah1dlNn+wiC86Sp2jTHc4HWSo/VqbSvnrpCzc55UjYG2
T+c42bh13N56eJEfPZraG5PG9oYdVHSePbf+UpT0uEFMxekzRvx8K7q+WZF84W5z1eJtmfvqBQWw
/uQ1obZhNEupA4MUGYBRnvAiNfvczN0bk3+4VHLUruAfQy6scwxEXt1tQzXLc2MEYqT0b1PBtjcJ
L7w0d6E4FmhKszbuHETfJhvwWsbz2hrQeNqAx5hOCvNsYnOEpxGNGEkqegdOGbg73DbpEQQgOku2
4KsaHuBjW+nqiTuuqNdxN1Qn3WxuZZCUN+Pc6mczSYu123Kmu4zbwBq2Oi4Yf6SBujcMyKC9stBu
Bk7y1VRW/rXLGwZVMOXgi7TUBayDcjoWDiu2n0y1vZZ2LB5K9DC3kZe6Hwgiw03l1e5FHRivmtd9
iwlmeZaGXPbRBZYIy34oLFxOPFMpksq0X/WC99w81cFD2FgMLZPXACM14AV7B7awXc3B3DNfmp6n
fvKw5JQgN5zmrc4zmKWmfkijMd00wqi+hgFeipR5GeBGM9n3RleUvjFPgLNkIK4zJdFOqiG9KYQ8
E4xUXORz023y1tDxwIV93PpYdYeKOj2fzyEMnE2Vq48OAS0TJ7ZS7C/i2UTiafbZ3hHJjJ1dxyBB
z6bFv4gTPTJrZj1Wo1agIcwNNXv8xuDsXjNkuTaHWn+NDCfel8ASvzaiue168S3IacEzJIQn4bwU
mdDXVLDxbkx13NpTMF9UTNZXCL5fyhDp+Yx/cSjSgHdnVW36osbxRKtpn4wT08O+OthQSVaJFA8x
ksgLsJkEesSS6qahtWQkbeRXerJrejzdZTveWTNDDTFHBSgl2++iZP7AVmH5rdmVdwEULz9WwFNX
QW5Oa6YV/caWZYssl5Hs2JWInjX3PQiNZ4F36EWvQXLTr8v83LVvatFyX9nvuZGLA018zGrULqeq
6MtTVxtfnXzw2Rd8KPBH0brjK0FrVMPerSivlFUR/VBjEOpdGe3YsTi3QpvCdZQNyRYZ6niFnSK4
xvJ8bLjoZQbeMdJxMCvLt52KW1S44XqKRmPdiESczSp5GNNK3gZjBM12iJFVgBQub/HaoKNR2srp
Jb+Odp7Fkn6h1UquGQ7CzYx3y2azFsVV6bQhIxUPi175zY7DfQ0LchVp+lUwqKs5wx+OdNFvFNP7
Kn9tMg9jvhrvB9VdV6K9ony8ZLeGMUvOE899wORi6lL2gCBRpoTHHD8RbjzbjDF+AwKwL4oEw7DM
68KPZLMyJsdGTp/m87WBP4lI0v+2/+N2+kXhJ0hd+bu67/8SX1D+WPD9/id/qih1jwoNNhClFZXg
Zzf690gsbRFYEuwiqd4weHvILP+lojQd2v/81e86Sf6F7/CnipK4LAPaEB8Hiwsy1D8p+CBJ/9gs
R0aMvEh4oN91vg/aiR8Lvrx2lKLoGoC/VlBhlg1ym2fFyuVh1hml9i5pCknttHO3S7mjc/0Jtgka
6JR5sLo3cqtlT7bIjY1N1oAYGRJ6JtSK7l0s2ddI4oLYJwtGxMOI2dMilSinovSmfaINg4ZlB3Za
3h9wXOWqx5eBF6KtLotsSgp6KDG1jOdWxYUN8OhIN73XD0ksp8vJCoL7xKwrYC7yWVNlvxvK3lmg
1ICj7aS6+Fz282SkHWLbqXEfsX4WfhzRr0IUsEzQYc57mwFL4UB3Z+bxlpkcb2cMc296ZdAIImqs
vyTBhZEk+gpaUU2/DBzZB+vZrhj7bDf2hBWsUazFB0bEtXP2vLZPfMUmdAdnAz2crKZ21zZp3620
JRspyq10XwXNsE3mxpmxGRV8MBYcnvi8D/orww6Kl3aYxO1AnFW/K9sEmLNStAhDTNa0VMNpXqk0
b9aJXffPbWNNj8FcOtJvwroaD2MJHA+Dl80PxZzXGc+E6NRgpEWGSozFzhJpv5FhVYuVEs3FAAt7
gb3A7qErgFYyTgf7IGlAPXoJ80njUzYUf0qIok85Uc+tTvG8iIxq5EbGp/DIXDRI8lOO1Cetw/5x
ESnZn4IlMn4QL7FegTZHwrQHSRit8T8jczIWxdOwaJ/gViGDmj4lUfhVkUeJRSnlBLH+NgOb26Y2
T+N26apvUPZMb/kiQUZlk6O5KsfqThRNdKLgzp7LRZsV6L0Y/EoLW8jyzJHXRuNcAQVFz7Uou1BR
QkJGro/gS/8Uf4VhVm+nPhwZQDfe1bioxOpFL9YtyrHoU0RWLnoyePXgSeyoowvOvuIAFc84tIsG
jWy84JWnAWEa7GvvS5D3yNUm1fbpLmxr4z7I4u4wNLmzxSKMyM0rAnWHq+hdXxRw/aKFI78HWRxP
QHwoWa5yf/oUzoWLhi6XmXVMF13dMk3a9SqSwcpWsxBre9HgqU85nkKYBz+nOdeuPn/J2jxYo6eZ
HmmP5PvgU9SnaToCv2rR+vWL6m8qx+Jc25SXq/ZTFmj0ceDbi1ZQREH5IMO6XQ2aVxwAPIRPLRMH
HF5tkN2mi+ZQzaBHcMvv2hLAV+MEFn1bK9Vv7KhGb9eOSBfLwjJIdbEDEZw+fZmd3VZXzNU9xHJ6
9pWB+nRg0FX64wJs68fJWxVB+54gNkJ3RPlv48rfLzxubNvG2zhMTxBhbb9IQ29ce73hNOkagw/X
ES1RHVWdvB6QCyBfWQGE7abmf2Ev+P9xKI6Lw2WS/D+3Q59i9U5AY/yv9PBlLv7HX/05GJe/0WQk
4JFmDU0I1r9/tUI94zfiGiUcOQxBFq04/ulPfwErI3zUZczqLmlPJl/jj5UR6wE9DQcoJ01SWml8
wz89FH9MqP8uMPLHKTIeFeYVNCuYtPNpSMl/WhjBQwIXsCN58sKy2Tc57Uub98t+niZUT22jbLrA
/zpB/2FE/p8OSLyUTifUZhQs+GHfi35TfnVlVLl9Mm1wMKIfCH/x0KzLDNtpOCnxC7LojzPr338g
QYacL3B9y/r/4/E85gYKHb11cspIviUeBzCTRNwrAud+ocr/Uc/8eSguNdeaLjViLprUP/y0BpFi
2KXCOqX5YL/FToK6uyVIEutXKM7tPHuPTspGvKEhevv3Z/U//EruJJu7wdXRy/9MShzqlGBG5o0n
ZSTWoXAhQ66A+7s4/9Gx+39/MLHM+f9qn3/+UO5A4QFdFHhglmfk+2sIt0blNJKsE8QIDuRUWN5X
mPnRfPatk6CnNJMqOubjiPRvwv+gni1RIiQbM6SgulF4/wiFuXwhqXMzMUYVDrGVP+sucGFjFg4D
6+QOFj/XY7y0g1fA//zvjoWIzGY7aQlunJ9uqDChwxfRVSVqbCBGwtLUh9Pm422XGNXL35/o5Tz+
eJ6Znlh4k3CuMB222Tl/f57jtmo0WXbWqQ+ib8pQ3qZj3fvF1fz3W4eDYCNZzqHgLfXTxdT7xHJa
I7NOM7bTU+LiLly5NNBJeUvpOf39L/oJPfv7lSKbVmAopEj41AJ9/5OQiwrSo4R5SowYFbDZc0wR
aCCdMnJCXtzFb0GThYcUb+vthDvgAD7GPPzia/z7HSx1HDSMH3hUrX8T6gSEKKHSZqg/uq1xNNNC
AJTFgnDBHoE7FLQGhOrUaORqIkZArD8fXnsJiuIN0uz//tv8pytATeIRv8mVxiP042VG1CLHPK14
eEkPuNV1fVgNRVeerIqIx39+KCnRT2BeIyP45ztqrNymRApqnmJIR7fEb/DIatnIq95l+Pt7MY3E
jfTlX77qeX1bFnGWjoduhsP92+1bRW1J+73SjqgM0X1q8KleCjOrXubBHa975JruL+5lysLvn5jl
kCSVoaOVS3ahxaDxx1NZpbDH0aB5R+A68Q6PPB1k1ajxlhbseBsvGnman/N4HbmJcY9CyNvkY1ue
qE5QH5IESLe3Zvn7fIO0Vop6dwLIMDNu0pCux6L81UnCz/Pjd2bhXyRj3IiezuCTpfHH71zAWrHG
3LSOKtPzLbGm87aMpUbShUphour5BFsNIRVGCb9MqkluBB9206Diz8kQgcZDc4r9NnTOsP2YwWV8
gNrk1sVNw3NlkH8brRdURb+yEU3jJwg9PFVEYt1mqCH2yGLaj4aS6AC7AG2lSgzzMBhJ/dIC0Du5
ocU0MeEEYo1LpusQlUWzYVfuPbZzpCU+BUMtIFngh1vhrm1QcXqRTH2UBOCHwi425S4rao6BQ/z0
OTAFgYUsxOrhdQL0rkgmiErukMoS1QsxtOiyEb968jjg1D6pNqQGRACGpj2lu/SRAmOHtlMY1ZFM
6ekWQeJ4rVGdobGt0jB+FSBPqDhnjAaw8lCzP9ZZyb0HYegtZfaLKHiRwk+oNT4UyEdW6J5imBwF
472aA7DCtVPfNpJ9vj1QPIFphBPE+xfj8+DZrDBiEuJeM2se0pHulBWkmg8XjjMaxMHjZBnxDmG8
+mgAr6wXB8N9i1EhRBscOLdKoYYxeiZ2lWdxnXKJbA7AnPpIqQ2NlSRGaTMrGGO+OzXeY4cjWK4g
LDCkJTkMEESCVHduOW9Wp6Pe+FzlQHS7WzoRgALwLjTJPrRGRDWT43Bnk5YCYjEvptk5RsvGRIN0
ek2H3kMVZYy3hO8hj4dbpMm1TRP2TEgXd00K7vrNkeSHraYkqVq/LxdUaa8Hjjwulq0LDae32imr
r7OdQTO99klYSQHhtayLsox4/kqUQOEmn11xjrQ841LaOer+oCQ7Z+1MFutNmwaQWqFZcS/3iYaH
Ug/4WLft3PWomYzUBaCqFVlySzgutBRj1dJQMf3KDOfL2cnmcBHl2W+MZ+03uUxlV4rIrwwFkWju
oBUa+3keUDwbobRei74v7t05ni6ZdmfrWo2lWCVaJtytwJJ2jDO89yCSOAwBKMzri7ns1roK5H1G
mh5pNdIt0hWumOmMC1g/5RZxpKA6qNggW5j+aGuWPxXzdJ8SZLrpSnrVxxQmADsjmTLK0FVx0zLZ
hp0VdPnX0m7ab66FTcQ2nO7sSawd/gSDCbIsHSjiyDNeXINeNZwEbaqeJXNRtVX2JN/H2RE4U4vi
olR6E25RvzqENXVVvBYJcEuotOUZxhU9ggL26WtIVgt2KppPk4zkri6m4CSm1ql3wB/kSxXn7XYq
qvlVkvBwBMUAYmMcrPm1yOp0Y9vG7CsB0mvtBjZjtXQoXhMiIlroTzhgU4hOu2UzCm1qrBWt5ybX
Nlg5mXSwednmrtEuLyaa8oB+brtUaQfQJWCZG/rwk91NX2GzDJtIi7WbySvz5xjnhU/jHVtfsWDK
EMSvnLR5c1qm3248a2uCcSOfkZXYAhjjg1ztbI2RzusfNVu5ShszEmvpEO/T+mlNx5FBDnHicOW4
8tVwwU7X3RummOx1EfckVgUBB7JAZq6tLowOLvlFtKpVtAbCqG2MvOweqlSCe+kLte3sFHZopL8j
3i+fvSw2VrGHj5mC3CRWh+8BciO/YVWambHxer+QFl6MKtS5ok5oJBclss1rve1gZamWm1qT7Mje
JkAdZ81IeCSUomLYlFWL7UOSuAIv1BwxjfC2bWHmwJnzy0UcNukzt6wOLInwTLh7G7cbbZ2ojWgE
FgNSH8qlE+C1MWytfAmEhbAKIIfvTFmzx0TDeux2dkAPf9Fv4XddPo04GLVL45ZXEG/jZYxQ8rYd
qaPA6i5Grn5mlFktKjIYSPXewnsz7m2RMjPEjMBXc5jtrtKsyF6Msg7Zz9GbXAmzNEqe+UgxJiCe
yK2+TRWiQwWVKdhkTqtgslnDV5R9dQi/R7OfPBl4hyby1B7KJtKGAvRgB482ib6ovn1LYLptbCte
8lomXh/P2cxI8A7RR2nuXSIgzz2aH1+CptlEw1DTmZXzFiZn9TB7IRxQhCDDQ283+S1Nw29GNj+P
hiWu0tZo97xXGeoYHgMzq6uMj5BM7I85joe7sINpes0Tn2zqng4NsGKkP9he4nRa1QDpj0wJEdaN
5GaCiJG8x/20U+GwbwlSO1l1OV3WqjVvJQNYuPZ5SicXO3wMv5B+wqNW9CO6HNFml2PTWFeoWLIr
vEbdbR7j3mxKod4t8t3wv83ml9KTPVjQajZWdmCgRFWuyXw6avCZdjNhUXmd8bqABsu82LWO09B/
CSptuBvaML0RXcdoHAbvawrPd3HwRN4Cpqa3V09mePasKb5sRgRKSJEhgkZ9qN6MmEErqdfepmCk
dBJS1wKcmipvdoJX3lZjM9uvob8aATFrgTNuyWky72VaVfu+MOc79H7BhT51802LdWrl9eHwAjmi
7ja6UlZ8hOA5Ii4HoEnfPiAr5CxHfah2gAjUnipXu0jAoz4Qi2aQwwPCvViBiNNJOOLmOQ+s8N9E
X6vLDvDxbmQhPBWJyrN15UWBWpWC8iLi5bZL4d7EfsXOAoJX7/Q3NGpBMRdJQBdU8cp7SccWANGU
2RdjbPAaxYKOUBIbTjGsjbzpAlK+QA63MNLwZXo1ggI3cyxeiGL4WsI0C7aeVs/bsAqtg2VBdDcz
Oe9V58S3Clj/Qycm9ehmzGx7Yqh8nMKg8lH/M5GLIvQOc+KQUDU4sS8IFfjQ85Z1qMW75aPHibM1
0Eh21jN1SpHNDgi7MoivsNmPD3ozaJc2JuhwFZu1uXU1s3HgjxeIWpVjQ4g0YlyzHffutyCLxqfK
Ndt3Mhmdj0G2EIT1SnYoOTLSqXyinkGhkfRdfkP+UkMeilCD7J22+gapJrxWSQ5wZ45VezSHMcIf
UDKRRw5eA9dyGuRirM5XGoPMjaFLiIpEHnrHcJ7GEcRzSb/Y7nAAntKO0bRmOf1zJKcS6mA4J1e6
Ezhoiqsiuyq8DHxwYYzaTaSZXDWiuYW1zyvCeLtH2qtjYP23F/q7/vOXE0KbIvpfnb5/NwgRbVuo
N/W9JhSBF3/zZyPU+w2XiiQcjTC3z0HgX41Q6zcpqNgksIJPBAs9iD9FofI3tKJLgw4cBKZnh+L5
zxGhCYNFAGwhYBAHEUly/6QRisz0xzqMLGj+y4bWoQti801/aoSw4zVo8XfWwc5cqOg2SS5N0fa7
mRzoI04+/IFamUBhHobpg7gB58JOF6mTK8RwW6K8WnWq0t5YJ2Bm2pZ3Bo7Caw72QMh0TBbrUFnO
Ocp6dTslfXyfKxuuf9fHhzyU4rWsAjLvEic5YqPatKh3viCOT/Yj+ADoBQlQj5Xqqvmd+E7Nj9GM
GXgrUuOOqJf0CCCsOAWOme06U63YHRSXpW3EPuZ0mFJJHh1Fr3C3xjkrcq5Jc21ooXMksg8QfpCN
V2XlZpgeXe9iUmGfIPAcjZtR6zyyFlL9UkyxfjmRSsY+rjTrLS2ebCdKI3wW+JjPWBuvxQizkc7K
PTDBci0kpLuihtWKj6Uyv8GdWFAHE14X0ReG3+RNS16JsJD9Y0KmWwRPr2FqtLMzvfoYmFduzYbQ
1zrG5Ew7JH2orQRz65hZya7Kx2TvwXpYD0iF1rozCTzGRvdUunEAci0abtoynt+9aZiewVyaNyEh
C3ug1c1Zmsl4g2aZcEQIf1sYxN0JtGf9JTe7cQ1t1dlWfdbvHJHyM0JeSVZaZCxVn6QPq/vQPHMV
N/bkm151MooQboM2bjoyiwnBLIu1soNL+jk54AftAB0vXQMnw7fSN/Wurnv7WwikEJBkG7NSW8OO
ZnlwYA+bX4vZmZn0aUl6RMYRaKhok+5UWVPyGE6x9+LUkuR0ojzhBOPfqPqhvvcCK76cdalfDkof
UaYBfn4iSFpdJJ2e3VmlVe1yWD7eakAlu7fHzEnYjZnmzTw58WUYWmyCHAc7KW4W5xY3K42Coq1d
mApmvyRk6NfovpxjGbYy8JPZyt47sofOgZSoEMfOPMkWL0xeSYiorhM/14TCIjCq7BvocvN+xH99
xt1qnozBXoLmyvAKZZe6T2bT80lqyQ651h2qIljozYXtAheqjBcUx/KyDi38sCKr9kmSQbjMoRlv
Byuyr7JqOBnRYHE70sPQ9BZ2YNi+RZ3LkjGNqdgYVeC81ebw1a7H/BCyu1zlU24fyjqwkPpW7npy
CuPRtNL3aTCr0NdCy3hx3OK+7M35UalqgotZ6DcMDmQBoI5AROKu0R4zaEBn0wtb+IMm6ze8vMm1
E6Y1CDTT9N5BnkW7ouePwjnOHtxYz/3epGui92l+SkIu4mCajNI7ONwuqZp3jqnaL6aLo41amGZB
WRyY5sljOaBLpLL3Z+mwrYmzJL0xhchu7SDby2lojzKYiwMkPKhtKAMh7XkmECgvPjho/LZwgeu1
ozAuBcWY3OIDsb7OcHZ9M00if46I8mDbnD47ZMk8OEWl3VSUNz4XlCW2iVJCE6SorrVmBCoh61Pd
AJj0PW9rt0m+CxTUfRh7GRT5mz4I+mctGCDQorm/SfTQ3Bck1VM6DXp/LvS+eTdbMKO4stYgup0d
aGKYAJnoNAbRpvvMtqmGZKIvKiLSwErSDafwalZlutNGBilomW0gMP0oF+IcAu4wmDYdRS1yirKj
VeB5/QObCAyeWeqBrkQnwGtOxdkKQr9+QglA0VsEhMEK7Tmh1+WuwpDJcJx5mGxkjXmrKaSfafET
DijEwzpMSWbs9cpI0vJLRrLmKSgj78aGzHpQyh7zFekJ7U3caimyvMK30YK8SXoru4SO/rWuZN76
FdTtc8/+1XeDfM5WRKLKDTkU3qPHqnGeiZ95wuUXo8frXz1y4/esiDNqKNWfVWixl+uH5EIlkpDP
SfMu8s5qrtskqC8TfagftSDOAKDn1YZSINwKD7LyDAtqY6vafEpBHuwlpcGmCdxyG42J8XV2wu5y
sL3qzTLrZXEh+eI5yrP4oTUo7Vc4vrytmXjhDtoz9N4pxDovguhaCKT/QLPBZoX1eKd3nPoisuf1
NLXoBkfDPblI5RMGPWV0ZTrJwI1G48HTLJvcEb2bd1Nodkhtx/aQenP1kHVE/Ygq2RCdPl+ncE82
Vd9jXZxafYZAq4EsssNxK+uyP4s+NI6eCNNXEJLpesCuiX6S5TbmET+pwMB1IVyi39O68V5SKeN1
jqXgGXFzsOfNFB2C1lhPhrSv5y7R3ivL0Y9V62pb4PTqSsRFdrAtjZRSYitvsmlwH8LBDbZCr/W7
qMfYgNE/0FCsaXJrIp44NxPqWZCx7/rc8fpH7TtjShitECXnINazib3MUNrJLnQDYHABV53wyXKw
cwAgRUdWTJ7G+s2ipGDtT5LwvrPZiCCwJpfBL0yvvanDOtuXEY/0akTxSg9BNTCOAZbV3zxCDA5Y
UqB/jYN2EZORQD2bX9PfSvet3b0AusZiWi68WTz73Ze0lS/ERbzpQfeNrtkLuvDbQoAuJQO54nh1
fmhA2G6aOr436rA6wn1yqO5T4zFNhuIde/D41AT8YV8A9niT8YTm51iBxdC7Y1Wrum93qIvIHLlk
qwXbdEXfkxZYbJSttZElZorRsB2gr2PnXtdtPclnjDPfOgL6XPQrAxcOy5mBsRcjNU1CfUeMczXv
cqCXl3FV07ioeIGy9/L6tRiDdFunU5gfXW1pXQ+JsWaTl54E/KZj18TOiw0F6ZWaIUwwlUTZyYls
0dyDMY6CXTZDUyj8UQ0zLYqwtZMPF96b9mDXwWjj5O0DGPMacR6H2onNdaHp067xymLbS/WEQ3FY
NSMCZB0dFHZJ6wmm5LCXcUU0fN7SyCuLcesRDOrTCDrGjXVBZxJPr65BnktpSz6CMtf27EUeijnK
NpE0nCMrCFnQWhySg5QJP8QxcUbXU58bruZxblGuRPHwtiQAHxtPaihFtW4ninHC27Bst+h2dqS1
m80pjg9psKWAnNZ9GbR7srAsWmBuvFNYtPwpsG5y9K/rpNbCw2yF7YE4o+DY5EZ8bHUSf0SWgQoR
1QXeWII5Qqd+7UyZ+cCYMYLUfQywmBkKyCiERrRNN0NgVeOqjFIWMrgSxJ937r5DZoYF2qCdrgf6
N6uDr+pXaUUeBqo3U3zQTpXuk9K7wlHvneUwBXwIahDxrU8fOkZh+lma/Jfy8Isijibmgmz8n6u4
89fh/7wQuvN9FffHH/3p7BO/MT00kLJYzNGIE6Eg+0Pp6Xi/ORIpCTepXIJrJSrMP/UsgB5w9tm6
Lh0kLdKh+PpTz6KjZ/FMNJ6mTjG3VHj/QM/y4yzVhsy9GAsBcGLw8xZFwI/DNNHLutf1sDyQbEH+
dVqE9pWJqP08Z4O7/u7U/Hq++Xks8J76IuuxqESXYeR3/LpewfGrXVEcHN7157lnap10pvc4cQYu
6nr+1fD2p+HmcjwM64bhgEU0lj3mj8drNAbrlatzvJw0jRXjALyFyTijLRkt8wALUlJI4eC5H2Rs
3P/9j/0JObkcHACkhIzJ1UPP+9OPxXDMlISA9MPctO0HCtllZA+3/GIS83g7Mq4DX6T/6if/PBtd
jsrZAg7CyuI6y23z/SluVZs0g+v8P/bOZDluY9uiXwQH+mZaQLXsG0mUJgjKEtH3QCKBr38LJcmX
KvKSV2/sgRVhWySqgMxE5jl7r81baVEmHbt/5H3SjvKSlv4V5bd3GuQvLrjgLVQux+hVoYGdNJDB
kcla71pvFyshbeHjKSGmHVe4hoJxX9jvSDxOiaomE4h2tQsSHgQai/9J1YF6lTpH4ZJwWMmG/Tt6
VP1qnpda/Q8xC5h9DTZ5adKezbRbzo/lR0h5zogcHv7qEoHm3PaTzprfCmsguq2OO9zjnnyYdPed
UYAcgTv+H00KE8yxNI2yN0OQ5r5+KnIqC8+NUt5tOwTXkXmvFOh4z7ooV5tNVHFoJKlUGw+kv005
7eDeAoMCpP1WAZq+w7dp24eEkvS+mGroWUZHVyG2sabgu8dLdGwS4vykXCFUnfb2kSlW6EuHg3cC
HfgBAxweqZYuyzjpMx1PS9ImaR1OV4Oj4jonZ+pW620spOAQ89UMxNX66gqjngK7naWAXNbQRwEF
h+iMVcIOiBfOvF2qCuVTSsGbHOZWbxlyYdoQK+h00FarFfwETfu+7H8o52hJksqL3vSEeSPLaTwv
1ZgGvG2l40osegg2cCwE6FuZp1J0NEzGXl577EtdX4ZN/fmoFppb1djbIqOVIwUeK7cwBGeGrkLC
1MwsX5LgEOAPrfVIkpq8/dGRQT1dfzbiXt4qjaLdW0uTFEocaDdgIOhWJ09+xqICycpGdUX3aJGb
cWTgm9YZ9JWCLhNum5JGNccadk2Di1wtH7iP7iy4by3smsHjoYGK8j6OzUxLFXra7VEuwYHaMjZT
ldDC9SR8MyrjqFZ+jNU4ZXfvx0YyDhdJJrtvecruaWVaev1ZnwSNpG4U9J8U/JLxwUPyXOyzhiCd
Ho0cwI91jyLgUyzoh7s162nQZwMgr2Ja2uTsOM3HqnPrz3FU/2xee0t/nC4TLTFMt4wMDC6KbxJk
d9bCpM+hsdGtwrdKD1zYBLpjBkRmJCW0Qf8HvE0MC6GYqDjM0HGKFmCsl+86mh7ZoYso8nj/6aVb
RLG5JmE0DikTrhJ3flN66uXx75BWAVUBmQvrxhzvFL7rTez0IhgjDstDQ4i8Hy/Tw+4zvOF0zkK6
rh0HHZ+yHOG8jXS9W5C/WmuscB5Ay+xzDJ2XfWN3tbVyi0yXdxQR6fCuwkqGYgM6cVqFVBXoUOSJ
pu5HrXeEhHuhIJTowCMq20kd0jFoImUKb2tK/Th1iBirObMBtDzXZ2/6TO11/CZIvBP+mHZzcj1O
7GE/ddz+GLAcwvxOj0vYcWpW4U0UJGmpWYK4ELcUp6T72gjjtUwo7oW4HTaekfsNdfc99TtzQyqN
cWkR0OuDidiF3iTP+qiS93aB4yiu6TTaujKB2wOwSDNTe+jwkwV1PJGWDJf5SrHj/naMG/C1fSis
LyhyPJPx1Y2GH3mJPBNEFu9Mt4qK1aAu/US1mi9dkETfaBNrl1CQnAMIDvuyVktsxZxzp3MN0AkP
XGKmWM3E9m1pdvffvITIgIAQtygJGNzewQx7iS/cFCQ4w0UOPxolXfZAU8wP9P6owLbNY6mRSJjm
qmXumtFgydYAqJBCRZ2HwNcMhUesLdpI1mV5y2uOsayHZZzs6ALyll4QR2jm68+W1nsfiykmusiJ
3ALYiRA4NCg50cRgb/FDGNMtHH2RjY84H6KPKdaVs6LSs/uUBKRPaTszsY6O/FCl/5M4cEDc2lvK
VahGAl6j1b2N9xM7KCVKvgalAlyb1gEyqOp9mrta+1K0ijLvZwj57t4gqQIqglZ3kkKsxinPBtzw
dY6EZa9xXh3+k9rY4nDeQxO+d+K4+f8kN9be6Nxxms+cgAb83jIGRQT4BTX/eYRjqZdXctDlsEHl
9fE0y9Gc9IaEOfAJ1PmWLMfSUcyvBF7y92veWO0HK/Z0cLrumLSrBuJwtZndiuKQHuG2pyWVKefU
QAZuXYF5ee6t6GFy3GqXmKV75cSGGqTMKurCNVCaibiUz5VEgLCqe8s9N0B4+pkmeKwNbl1qSp3J
YmHmEVUCt5v2APrcSyKzeS2QgEdRPrehB+aph+fHYnnL7JlB0wyMlA7CYxBJZRlKAzyrIIqXxrvu
sZY2ts6annr8HkG44tbuY++8G3k0aMQ81sFiAHS1ctxpXCW1yX+IM2pvK2lE3rmdI+8IIh2RZd4K
nPVHcoGwoq7bLgi1c7I/FT8l9BqWLi+TwjccpHrHvr9tYdbeHqUC+KOTrRHO5uM8Qcvyj0ugEw/4
hxwiJBn6IxrZ634sEbgM9WiejzSWYXtasDSOyqDSwL6JBqDlza9DMHh0ct6PHUkNqMesZBEJNYtg
OCc5mB3DxLlm++NjaaVFPwBbJDsJuEK8vpyW1b7J23YnJoTkvWDvS+PXgzaRA5fUKROVMGZBHMkL
zY4QWKgc4T+PVJljXEiCT50UNd8VrBCXpEYzObcmCUgdbwubSnWBpzFqMrzoriocx4+kaR9QrqQN
p1Nrugs5zX+2Y42FdWqV9Hys26Vt+2p6p0lJCIim62h3eaVQfRpi5alvG8gjwwhCmM+86AwXLKou
R4aFm7e8yRuv1+5JreH1FLUSrG/rmMjYIpksdxQ/JVnQ1sRrfahdpCIFurPyLlyeaJoSLjwPxQJ3
7RhFigbXY9Xrs0oGqUXDivw/vCrqR7ylpmVyn9ha3hEHogx3wpa5XfsJuvbYvc0z14O2k9XkdyIR
jgArbKYsUSKNtEp2y9S8xh5pkcZ2I1craj6k5uLszIsk6EeIqSM0ty1pbOxBHD1WD7DY4kvkilhs
lXha808TSNPyDnk61xc8/ua2cllZMhErD1LxkoNCSCUm7ZhXz+QWuwitJ7V+uFj5MFp8j8YOoLQB
ZXC8M5MGit8UdH5clnSjjQbqeBHg7lnDtCtls69Ej9esz7XbkkDzasU2pF2lgoKolrEj6e0ie1IS
04JUVoU7b64KijxgKAJm4OizKjyVbfOk5NOVJ81xj+KNjcHQqFceNvQrq5hEIKj8291U7CR1vTV7
4/COLtm0SXmJUnWJyQA0zSugBuaFxK99w9PmvVzK/MCbr9iaRYYrVzF63y3sdeTlF5j/ae9xq67U
qY4+1Io9fG4r3bisRLFwtSOVDaRstrmXl0hzro1Cu2XnR7qTMqpPlh1a1JcIx6LwqHspkY4lIUyh
ix5wpk9i80BMclvARlvkNgcFHaSKjbYial/hDYwaln4lK0gMC2/F+4rVEEvbYmZW9rZB+f6iy3IG
aRGz2iR2y4icRcizD2UO4WzKRhQ4gm33O0fx5ZT026nE5VyCcIvCAvqSFxraWeipxxuv3tXWcdMv
CPVZ/Q8+ixenHxfHDoUKWjuqa3Jw+/08St55P6Ro53Y55c9kNZCXcN90C0/blBri1iWg8XBcDt8+
fb84+nNdhOELC9MwTU6Kv1+XI3lupHj/duDX7MdeKUAudBK88+gsrs0KZeetDamAlUIsu9y3r07d
5vTukp/BqZgJzoc4dZdMXUr1hJjVHXIQJGGEDev37rLqpkd6dh+hul0hTuRYsuy8sTWxuB8/wr8V
u3cqdlij3yzYBd/zx/Gx/f68YPfjZ37V66i8YSygtgb+FKX5UpT7Va+z/nLIiSBY2tPMH+7rX6oL
7y/czdThPfruyOm1/5TrDGiuFLsQZdjI7ReY6p+U6zTPOBlb6F8XZKypapiXcMedFLWyVMSpNnvN
bgKf84AHuKwDuzbwCktob750WvSodTNdQ76Yl6Bv4YOU9cCzqPUGGUUJiNCYtYcwGWD5lyUnCfjJ
43fZ20tQV5zSdENFkEf9dekq6OuG/IuptC5gVrgqZYTmaTLUaN1KjzxkbiKwo8Ky7lJ2L+eStuNl
nlrU3N1BnXdonaFshSQaHmyNFXyoYEspDvF//ZIOS3WgPZMN5EC7MOinSyvdjnw4fWW0dr13oF/t
K/Clt6UXmQd0G19Sp1EekrxQ7qOmtFcmkaTkKuhQRKIaMKHb1VfkDFJVkd2NcEH/KKiHSyIgEU7q
N6YOdsjzQCMD4lLgtJf9Vo2yJ6hji0jZIw20VOd+TXooEV9NX28aqne3sdBvbEOqwO/7C2ShxmrQ
9RvoN/dQGC7I8CtXCEbvOPhr53KEEJpnJfJ3mJD8UZxXU3FuuvVDCDnEn7VewkCMviDO3C9NutWi
LIDI86WxFhVJVd3JVJk/I/9Ug9qI0ZS79bBB18VbP6Fh6nj30gjXMFfYAiOw5iM0yB/51V4jja0z
O+qVkSnKBmsx8L/Oyz9W02CilzfKrVGCzOClamwwqklUCz3wc7hj3Vxfk+o0k0+mHHpzah4rk6YP
VENBmh+Ydd+oczDZOpJbiGWhO0Nct/rmimy19sHM3Hu7S6ptJTmgaQQlnNshaZqz42k7r7GBbOXu
h3yulYZ+//iBaNjoYBYoghCoLbhZLxz+VtSmLX2nUY0b3FXGZQHKg9h2PZYu7ZFmXudxeWcomlwb
LX5u9hTGbZf3eIRdTmuGEcM8Z+as0kQkID+Ag4tCsk1sG4OeX1Rr2ipKJrLxKLtTMRCEYOuaHM4i
+tHDZmwV6wNy1uTMLGz1i8kXDzoguX4BTCoJLO5ltdFcUkLQCk3q2QjNpt9XNK2BCKT99KSU1qxs
cQtV4dPkOeNFriOjhtZjZohzEwMYQh7R2U61u38X+v8FvUj8OpuJ/96ZISqmah+/Vc8X+h8/83Oh
19QFkohGhM4emUX6Elr0C8Gx0DloHlBLx4HHss724ldjRqMxo9N9sbV/XgK/9HX2XwTzUHazEeVh
91S9P1npj77IZ1u0pUviOphwHfiOqN9OGwgqDVw1VAjIwE3fpB46Bc+dhoeWemnZHlK1cOh7Z7Qf
4nSLYgV+77lBBMG4jgoEB06/sqrJrJloJM5mxkWp6AbENYhwIA9SziPYjZCvZmkvw23mJlaSnFvR
KOh8z/zXECxcM3OtD6qFampm4z8Ug4zPNVGQGbrYhBxlFSMr8RVBO7I4GI7JdgowZJ6g40bcon7W
yzbs/cru23q6S1keNWPtmtHo3NA1HmLvKkl6GA8eHPwVRgel8PFxUELOh3ZWJpDNkGz9yKIO+O/2
6H8LAKRNo785bT4g+Xo+ZX7+wD9zZpkY5PTh2/7JFf1nzoCtYTdCapzG/gm4FUeBX3NmCf/TUJIs
vc9fk2VB2aiLfBRrMP0x/Y+6mMeuz2+TBYs/GWvsygxafS9s+RUn+ria3OnCI2kaIbg71tO0ORrF
ioJeXyYXz6aIovqss0zQjwQBb2VC12Na7IstiWkLoUkSjD7QvEo0eYtn2bomK7dTjdXCB2YWrYxR
HcS8KwrbDMdbxZlkSQnBE/Q7P8Sh9IoaDT2oZ6xAy0RS81C58gpTFIcKCE7n+TpBUe6TUTtTMuxG
OogS45QzaGx0EPorKTV+txF3teAm3yll5ejr2ox1MsdTgmLPuJemceVm+JxULsv7pQbyHBV61KzQ
JU79LZGzhT8wBy+xbsbbxtFnAz+WHd6XxCHfzz3eDr4U3OJ5UL6OcZHcu6nZAjwp4vRGVha90bbZ
z6CqNnEVDo/0cwmV6AoIW0nW0rNRUyCalYAYSD9jBohFqBCRoaDZ52yU+nocVdGc6c5clJqf4ta8
jKNMKHs5ViN45UyJpjtl0oaZ7KQoSwEegjLVna2eLJgtEapV3+yoPOAtYFXIRJPJWzvHrHBRy64q
eQqFdUQD/fse/Z/eo0jB336PluX3v/vk76F/vi44xx/7dWbSOBgB5aWaYGBkZTb/8yp1jL8cXqDM
9J8CiGcaB5YF+qM6kJ9fevRfq4Op/sXhhpMWHeUjBevPwiyOTdZnywNNWERAOt1XeAe0q/WTQxPx
Wqjpq0TsqpKKlh7D9IznEqxr3z9MdvaVOiXQm4qtP3GQng88GyKfnDKSdjKgor177woXeGLeZxdy
yM+FS1XJUWyUt7STsIHS9kwJsWOjDf0GiSVAqwIw33IoiWkKbmpK0T7VQM8npPKm5uUYgI/CzWi6
2VprHNpQGtdEFyTA0JVcEwldkGbdg8g9NG4J1ba60peO6VdbqdUgL/jrmYbkC7pVu69F+6BRRfBn
SLWrdLaUdRE6H6lh3aaG9lVAw+Rn64e8Iv816sHsV3hiHFu/0WJQWnrJ97Fr2a/VtnmwtdRb9UvI
wXjslkVEI8uC84hQnH3bunvOTT1ZZtwaQbZa1BcGjaHsSc8UubJtbmXltl2gNvzSXHALTEIA+Arc
BtXdF0nXBUSSQfJR+QyiNpGzhjoV51ivdqxF9abK0YjZgC19kZk3ozv06+UnUwpveAVp+syUqFfR
xC2oc4PzWq/NN1GV33hTTlZfxyWJNrPOLJOzGjmw+npo+EBGbWcB6oEPWUflOHQWBWxVPk1lQ56T
0eq+FU6oJLMJYJKXR3+HuaJxH7x7T0UufTw7dWqKgZvM6w12Gw4mqkCZD+LgPnTDjDQOBN+1ks+b
GuPibnQZHAYJRcFoOXtXU+6PgwRTD1Jqs+mC2mEckCx2UwiX+GvVux8R+4PY5Y9CtW4EDi0/SoEg
07ZkB5gOXUDrTh4cr9fhMy2jqOfvQoW7TDoNyFHV6WtnOcTbIQzNWWdgAVCrfU7ol4znJ+mRCK8D
klvlY/IVZRDPfubfsGzJldCUMhh7twPVVvEzBXep09B9I6OZL9SG91fbtQ/H511EtCpEzrCiVI1B
K2bIOB4n+arhxTfYbn5QteiJSc6oZn9IQBejE2UKL9NlLkRNP33IY/7VdtOvhsYHYeahF62z5HLg
dsEdu4clwf4QCO3KccbwMMK7v4hRXfue0z04dER8GzYDE47BhDDh8ngz6E7SmlX4q3VWfC3IUlmH
qtMccr2z1hTYaz/PuvAwoZe/Lbq09nXgdKuRIBrf6GuAmYWur9usUoOiNbmlquAzRHF35naK3OIi
0c6NJkx8AM/6OnOYlKjhz5MxpTY8VIwyIJ4E1JXZBcdlNTBUFgLqKoT0TVG+VpknJIMkNyK2Lo/T
y0jneadqg05pG2bcAKVtVVE0XakFj9sElHqgfFxuJTLNtdCWaZiR43p8tkrB11fC8txGU8ASwhAo
68YjLpJ7cxzls5OBRwCMsUUZna2JuPM2wNzyYFQoBRwHwDLCmeI3iTlTIZhYxjzB/DZnj53O8pj7
AVdf3zKMsM/0awEo/LFOLGVnxXzVGU2DXw6aQr/aYPWykq/0n3gEWvaExN9A/c/swYvIYRqjvq+X
WnhQ26E8Jz5RXlrS2rpj+lXhdE5piCJSmOnLmZkZwR5B2UUW8xTgtXY+kQ+4cWwGWVkY5TnwZK5e
snw5aYHXisWB/L9VIk2cjnmHaFTyy7RR+GZn2L7Tq0ZAdGW3ahAs7UebMpFTUlmXSaESTIMZVskj
FsVIY3EbeXSKk3nbcNBvYsNzt7NWTtu6ZzGpTSF8gm1qKJx8hHHQmEVOXe04w/AHpecfa5PusR06
TlrSJwV2CapWWh9f45hVg9Yyb/RpSfsJFXdlYUHgtTMymBpZbzoksX5W5WoQNyplNduUl4OTPXGw
49bgNiffjVtsAwwPaL3E14PGczVLoHsIL7pAcS2WwEVD7uRKeK2jWA7sinakGzZPjcN/puu5Pvo0
o4T1xISvDvC1/dtVFWtdKqDvqsb5CMW7WmdKjBpnuMQCn7IBdqPDlMhFU5TjbSThZFLXejbCky8l
zZWAftyXzMoLsUIWZ9prz9Ugpc5zm37VqcgHaNc9EnJU/d6Ksjzo2KmnF1PUDYdkVHmEhkqI5iqM
MOyuUxXeW4y64DqOTKjfK/S1uI3gk8BSnLJeXdMebrs1joBa8+2mUYAsDI9KX1XfgE/8bSZqNawi
Q2ZPbmMoM91BZZ4xZXpy3PVlW22I35NeDZO2gY2Q0uErUrzB9Gt0ulaaG154YzXTLjPKsbvM8EQ7
cO7Mrtj109wrDxOcCz8muik/D2PP6Fdtm2u230xZk1xaCGimdUTCh3JbDmwfYse+f7YVu/6xg3me
L/6izQHozEYHYdsOCAXPOJH75Z6izyaJUjsnmRBaz/ETJmpKtaV7P7SVwbBi1pkIyIK3r7u0bU72
U6STYEZBY6A6hnqynwJuq2PkrYedNh4XO+agkWTfypEYAVlnT29f7YVGdfmWDo5H3dQ80KQnV4ND
oZgwOoddPjFAlp2Al+H1ivAW/fhe/3ZN3umaUPoxuOv/vZp2+V08fnt8fgD4+SO/CgPL6Z9Om+GB
FTsWxv45AZAh91slgPHisLE0kUUCivhPQYC+CzU3ODYA/HQk0/afVM8oyf0+RKlPOMtl0P3SRdCd
U2Fq3JtSlG1tXDgLsHQaTQtFiaa05FWwrBLS09A8ryv6EtjOMbU3Ys3WkERIti5bVJMNMpOFkWrF
c3ZZOTkI0UYK7AB63UgrGBa6Ko1hOKsLcZXQqnkVHzGsVANAstYLnVUeQa3DwmzFZVp9LheO69wC
DMWPteBdsyPqFZbouEkW/qvTppzej1BYZ+HD2h4fcVXHqaQOFlUm0SQTdBdzmhwba5I7RjuU1vMQ
yCxVv6ZD3k2rfMqyb42jNFdwCQQ52kRZX4VhhSaMyj/fvagB96CDTjJnX00tdsZZG2S9JTGW/2t0
Vq0fBjearpvYaqZ9RGk7DeCjSuXg8gFB+IRkbLDRKxAL6G5d3XjIZm45AYirZiFspohTAkoLLmCJ
BcBL6cLZFTTYGz81qzna4WaS160LqiVQzFb2Nald+gc2X4Sp1wHg/KUEEGoW2qIi1CPD2boWHJ+N
0yYqZQPEiC1w+GypLRg/6gz9RIXB7LQKSx8pqzQDwNUTfUXEigtdV37q6pxdAMlW+P9b6sEUQK2E
IJXLrBFLQDRCptbjCBi1BWqTJUV6+BEpTcoU+dKhNikb8SN22urYBCzKI8gb52jaBXqjBh1/tVO7
EYap3sZ5GHD4EcvAcebdLFNr3pBeM2arjJpULg59fwzN1n5maLdgfMe5WGWjDn7hIfoRuE30xBK/
3Y9NTxi39SOa+ziL/13w3lnwFuc6L8v/vuBt6B4kv694P3/m54rnqix4OuVLFrxj+NJ/2geu8xdV
EBuFugYP9OjQ+FUKNWgfAJykWskHUHVebP8sgLr5FwQmm4I9Y4UqrfdnFdHflz8kDzQNDJihFssf
+ouTnUE0SnVmag7w9AdcQfg7EfAiFvbOTZTWbJmttjwnDCxBshm/Ky85eWNbS6WFMhD3h5ovi/Cy
b3nm9GiaaPbELPvtOOhi7UyIcbREzzEQJ8Xu2WN5ZQv06qXAldPENpd4qpNLtQakJq2w+i0Ny2Sb
69rIkRszJ5j05p1dz2uX4lZ6Bp6cpWi17IqefatZQyw9mSaGPSmpHhtzE+DtyPxeOsP+7W/Fe/D5
But4A7HkAHsH62oAfP/9UlL0Q5Zb3EAvCb2VmPQbTPn2kxR2EJUhLPWK/vUSSkc4A6Efb1+cMfjK
xTn7LaMYJsXJ9+yR0YZG3fdbpTJtcAMyXpea2fwRg9TiK1o645IuFz0JGFsnV+lIEuxEEw74A00C
sUwdufDKko0j1iQhIC98+0udKJGOl8NypOLO0hkmpz4MiOg6WKt+2FI26tF4tt8dQ39CelTQmS3O
CD352WP6rzjHl7eROrRO+5Cqo6m9UGqEMec5iC/DYm0GRk0iNw/Lq9Zvf6/lNj3bih+/l07Pw0Pv
xPFv2cY9H5R4AzV4YNmwNRIxoXRTztkXX03Qg3BDoIx++2qv3cXnVzt5aPitoiay8mHrilFDWJ+s
IoH0r06zmrqOxwEoy76+fUmdhfTFN6QZalv44DwG5MlSNsWZ7Y4j006LbbR/lZl/jNQB9QSZTbiA
ImQlza0jJpcYMFo7dq+6h9oydkPUVltBm2Q9SEjf7ejUf0tpKPsJY9FKD/vmbiabKXdiYHhZM7+z
MB3JzCdPxqANRlkckLX+YsS5HbWiqmca4e4w4aMtoY1UlS2xVhQDMUmn0XVxqzEgZqde67igv6iz
g/tCc+tLmI5I9uvIuyJEIXpnLlivDE0ETkQSM8MxAJ4ybFMvxwpl5f1WEh2qh7EVJG0s/ca1+3XX
RN0HmRipr442RMAKx+9Blml7Dg1UZEhrEIUIlJAoK1MwV6W6MrQ6DMLSpQagR9NZNOjtpW7Pyp6O
ENA4qknB6FgoTyg1fRwQfn/shRv6nkGKTWsqzoZArGQljNYF/ScPPaw+Ss/54Peh5QEwsc5iM/sw
jC5ncHOC12jMKHoRJFHF6q8qjz1Wk5CZMJmUXiTyyXM1ntRPStuw+Syhv4TW9JRNxm3v9hnYsgiz
N3rRK35zuXl7tL6cIDg52Rgw63kHvzDgyY5ylTUuD72LL2FrxX7iqnstkffDHNbrYSi0P56SXNFi
scbB6Szrze8LgNdK2o9z1m/bMNxrnbkmuOBvrzTPW6NEpe/ZD29/w5dvQbJBWG3QPywWvNNeShd5
Akrs0G/TKa9XukDJC4CQxr7eTu+8cF8OUxfskA3SyjuyXpf//+yFGw1IokZR8RZ0hXVWKY22r8bB
eecGvnoVtJpsUwx8sKeeyQKVRUHuGa87u1VxOjiesiMWwb1++75pL9cxvg1qWLyLjkZT7ORBofye
NbtGPyeRvgawJ9INHOMosLuSBCFOqWwpGPicn6ND635q9WhbmVny3rJ0cjDmhbG4hmnfu5oF+sQ8
qaY0TWXOiXC6rQnZhuq6l2/CMe035tgnLhXh2dzjjffWrVp9P4YoZX06biNLFRfFPBPBm1XhO0/g
9LD+4zNB7UfSSHD9CxdpZCqKEmJT2pbRUO7V1lp7KszDGazOZQinxY+dof6cQzX080aZroB1Tr5N
ERFjWUlKaJl/zzUpLjOXyM95/AKsQveJcKvvpnIgB65PiNWM4vFQTvkl7Jv3NhevfwEP/YrBlp75
vzz7ZyM11FqvmMhU3prxdBu1Tr0ZRjP6ELOK+XXjpEGIb9UvHLvnjdUWhymeH93Eue9a29sPdRj6
ktSZNTg/76aaneoeuOn3mcSXg+FS9B7raKIxlSq8K/p8Q/pX/c4rQVse++9vK4bFs29wMjrHPucD
VxPqTiWNDtiTy0NvYejCLBX0ScsiP6AeSlN1b1S0SroautDbE8R4dWRS3lvKQLqGd/r3m+hOrCWT
NXTbVIn7msaVa31lW3XtmB2aIE/9VuVCfkLRHv/dtX4/iAiwnr5Qd2N6UVG30VW4kS00UFIQtZE0
V32o/ZgLblGWgodMI+37VGoaS6UDQgg6q5oS0q14nzDetTtNWOq5Ymn5kmD4SG/uzp64UGQeY4q8
znrnnr/curnIw4lXYodgq5yWfv++yIWdLKR5uG3S/FMZbh2R5oEy40Cj3WG8s098ZdlGnYOQjH09
v1g9OVF0eWZT8Na6bR2VT17ihry1aZuZ8k9t98tk5kro5jDuUpc+3dg3YTTUDmGQ26mN7jPNiHAJ
z4vCa+I0YU0Z5CzVVtxDaGvxO0Polbfvgqe3affzYmLj/fsd7SOYdGGqLljG6XPYu9fSaW5x1TzB
R/3KkdcO3h6yx73nyawhqAvNnwagH+/9ySP0hNLJJGHIcgwvKfKx75nA2E4lsmtDzN/VsLjHMieD
aKrZ3Jg0tUQXtQDY5ne++quDCc0ibxaUdi8kDsnQCysWzF98i32g1g7q6Bhrj5JU4GDj9Ontb/7K
SxM0IVoPosbgHJyeEW0vJcl+kDzkqaUrWpMqPA9u/M4Z8dX7q1HJYCRxe4l2+P2Bpp0WVZpZd1vO
yK3vChkDnEs92tug4sbOYHYKc6Aq2iBPDskNphqQr6VQzuYZJ9bb3/nlodylqsxumUq3Qwft5GGP
02ABf8n4MILWUxwR+du18wVBk5EfFZri111RbrEx66sKEuc7E1h7bQazG+Jms2938YD/fi96ch10
A0PzdtLM+GvtIFmmbR31Vzh3Leq8dmXbfjXwC1bKtFgfYXvkVoDYM9NXJLrFGW3xabwQsUGHTacE
qf3IQX77Lr3yMenqkwTE1Gefc2p+iRU3mazSbraQl9vNYM5ibXaNt2Yvn7xzS165FKoj0yE0gTIc
vPbf70iSal3dtE6z7eeweDKNiczqMi4IPbXV7tsff60FcIHCcCmpvVjV6sX0XLtms4US2d6ggrQ3
1eSEZ2nbP759pVcWMa5EWYQtokNR62TM6zPoJUJMmm2CzyIIMXjcESGnQ37t5pUqC+C20CLeWT5e
vZWcr03abBqewWV5ebaBiSK17D3q/dsJohlyEYkbNi3Akat6986l0Ffzy05WTXYaJAw5yBnRdpyM
ZDczqyGaNYaI2cLBsKGhtSTwmSMJqUVY5r7dQkK32ZNjjjfEqGw4OQ5yPUvHKIAkWkyuBJK9tw+7
Kf+og5+MAyzW7hDUOWHjmN+b+BFqmHKRke3RIU/J6Vh3cJlxg/CVDKRPFbn0BBSM2gYnujGdUej3
tslE9t66wmiZrqIs1u7tQcdfmpvS0jepVkh7DcQy1h+8EX7+dzulWEKzhxNMfCbj1giDFpVk/KHL
K23a5yXVtW2caIW5VtRaOxSzlMq2GzLRXVoFTeELsx+m8MbutLzc8O/KuCnGFuP6ajA92iNlJszo
wnXKBQFmGVUKPp0IaKGgNDq0pVLtMJqX4WqKWr0FypB8hDNjmCs5mFW6h7cVIboZqipbnKdLqkBN
R+E8FRwnEYR5cH+3XTd6WSCFNckAWWcInV/pQpW6Q1HrQV1Yy+YqASf76MBtRJWNz9+fXdrOd7WF
8XZb9R0xFwQ1iLsyMdt+DRzBc27VigbQeiA3b9iziZWbxpVegkghsusVwvQZLn6XetsSbVq1zgkh
7pFs6B4E085yP5ABTmJzXlSG35mwI+Eu1hYKi+GGOu9mEFb9Kaz1/CEnx/u2L+2RUA846goBH2uj
8a6GfNqUTbeRCIZuQ4ciqhlHawAwyVY3szHIiFPeRIM4GGIaaep1j2kGN9oadELxUmlsCsP4ZhrK
SGbuhGTAhNNvw29ce2Zib03crUioiN9O8SaddUC8vjo9QARzmJCnOOJxbmxrJwwJ2RzQGBbtj6pq
r+GCNNeWV7RrTS2Ta9Tysw/VTjtzizy+MEaeB6eFZNUBG5GzYW0tRbtJEuyBQEHRCHtm5ss0G9hU
4J7JeUsEXefMN1ku901P/DEZ6xZ/ZKS9A0kZzfaA9FkPoFE0a9m32NTjkBQCIifORoNwdZ7sdeia
t4USy7U2uvEGqQYsRUwx5ATgP57Zut6GUV5/QWmjnpexg3itxzgs1b59shViZpVe1AHdPNzuVWXt
ybDFT1+Gck/ou77vYALgFhMH7DYbDOsaeY3TQ6EOzQNIlR2K5rtkmB4sGZYkNngU6obwobCVqGUG
Fu5eDA74OKUJA1SN9xgewkMXGklgR5WLnMpUeA7/x96ZLEeOnNn6XXoPGeZh0ZtAzGQwOGRy2sAy
SSbmweGAO4Cn7w9Zpb6S7u2+0l5mspJMlRwyIuDDf875jqAGvYiWbca94THvDXUv0j58lCPASe3I
22FOAjCDKxLTaL6kACkCrTs/5rKuj00dql+uHMbNnOuFCVdJtfMyx2MrmsXham6bfZrs2jwavpVt
mC0bmw/PC5QdZ9oGgnsEmymLRJGOmjoI5GKh+ZQVM761sLRO5pgS1m6HltDVEt7wP9rdxAOxS6jA
m+Ut5IFUy7c56wMpNnASXF1uF2n3b/Q+7WmbQYw0bH7nQ2DY7cdEL0J3dMqKIvs67OmwnlsroFnE
8DHolEEI8YTGdY8aoTY36bppRX7se14pUKlNtV3CWn3LmOrf2xWdPkndlPlJF/R/elEu7ixNjTlW
WZD8cE+nc5ZL86e/FpjAxQBaGSxmddOxyX4MtJb7uJFSypC1lzuk/6T/5Koy+RUx3B+Be8IT2fw2
uy5zOH1HZ6p/9V2Pd3OupfXeTEG/5YrmXSO6ad7yCCq8zOR8GDixfAvhkr4pyfeZEXCh9dvivNBw
H+cTbCfbdeQLU7g1xidpAKJknU8CRi3xmqWh+BCdW+7LyRCvgbDzY0EQpTqBeS73OV0bL2RK6NIM
QFNviXjXw3ZcJA9HZRteXJrY/lLf9+KCA9dpFJisAkbIBO6HqN+X3JtqPPTAhTZDnqpnkeh02SEn
W+EmSldDTGu6mPBqpEEovVm1fgYNfYZinD0R66HhJehHe08LeGc8Yyfirxh0ZZTdpPbCr+qX6llB
7dCXNEnSK6UF+N9MHJgtltNbNyPO0DldfnDN3H9Sg+0tG04i4ux3WXYttOzeGd3hw4fjdE17HtVd
09aI/ONU7nU7ufUB50R6rapOBXHnwQbmIRI8VLy7DOHFuSRABL8j6372Ku0f3KWn/i/n9c6LEsTv
jA8uzHhR6c+bbww+mg+d13c/gdI0fdz4S6fg89CBzSubH70J0KpvAJqwelecO7zFt4uS3c9h7vpX
Rds2OcFAfLRWSiJ0GTNeVtHUyRm/w0y2c5CfkZbe1V2EASyqjdLrRFgJ7JCPJ+FzAdeAYbKzteNC
L0J/B1jDtoyNALhHbOC+JhrRZDBcwnFMMP+1pvWto7vkmgP7/975WXrne2NLfQtGXUjYS0YbwpJY
GwWL99MbMfylQyjOc28m29QY1c2KezxS7Dx9D42CdTFN8uNvb3FnGul1JPGIFyT0OIE3mF2uMGOr
U1/SObUZIoY4W3p0k3NWD/wBDIQhTF2NYaJYOsxqC885Y6xGvhA/mX+FgaIuL3W9OEnm6mT1w/op
H6kwRXOxvae8ztSz2w5jEOuWX7LyzPIxHPruh1Nk/pMRLTCWu0Zn19knj7GRZMdeK0GhF/1l47PZ
TeVjvr7dNrTbWw9n56NwFT+oNGATBQFUAA4Z2dWVvGqwJeZ7EzjSL3NpcxjDrteQ1A2TRxvb3EmY
GUZUR/Md26V85Mg+fY9MFJlFK2KlwHtktjPqbP4VdIz54mSkQHbDvEX2G+gAuol9o8V07hYLpX25
4SePbsaVa9ONEh9KrZSf8Xfnk7QYomfp9V0+aaxZ2bUqi9aKa2tp7w2nYIhLPIX32pRhpk6+04ZN
DPz8V0ugGRSvWReALjQoirawnt10ZV1hu/jCuT5CXrIn8cBqsfxq7aLrY99u5hKTtzd+2eFIT0Wi
yDwbXcfL4rOTy4OpS6vfYIsC5W5XxmM0mKxmga++pi4UD0PSMPgXdnc3qBmWFiDiB2sI02viU7s4
RCuOTIbOiXUMDs4c8nw3lBO/CPK+5kNvhJI1vi1XEvfc8uKBRbpwJ072HQAZFjHcT8xNB2dEEHbC
90WGA+GfLj2oqgL25Ne8NWybtw52Ztp3gzS/913Z7TtM/9/7TiWb1TgIZ4r/S3Zdt01U5/z0otTb
ux2MpM4FT287E+Fj5fgHi9drg6Lpbsuh5zkcnHp+tGrwghxC9GZtrH62q5QOIqN9Itt3AQG8ktnM
nLtM32/1GBV3gvmPOWbqXNRdz48t/aupawqvgpp1w1mQ183cuExkHa7N7CVPPri7UzTlI2SrvF6A
ASM2CmL3Jzo6zmqeKyAwo7qYqe5vQdI3mKabecNRnyMgyC4oZemPiNbhUxk0a3+Xcj4VnckiNy2W
tJB/OFLsGpxB8TTQczgV7gvnbXMzm1P7M9KrztQO+4zJ8kkkbYBalnEgVUU7v4STTh/NJtP7AOSE
T4vfNtIAaTc5yYJQLz+Y/9VvZU04mz2HF8mGJsVCzw2HLiEavWK4cvJUGqazUYlhXsvaxQQ8jghf
1thtOaHqe5Ii5oEqVvk0CopdHB2lj6Pkh9BAFNyPJil0BtOw3ClZ/hHlkf/sy6E65nnwPJEWPTAu
pZAJdy2TuDUI3YKpueQhg5vWsk8JsfufUEr0HsSfeYBrvVDvNzpbrXgYJd2EG10yKkzn2b/hcOG+
FK53aLyp3fM4sQC3wNA2qU/iOqKI+ZcqR/tlgsN1F9XRgmuhdr91wLSh+UXu3mPtuqkTWT1bXhA8
zIp3yVNyEvuAcyHIoz7dUSTQfS1ITXbcpUN+Jwo+BhCnU2BqU0MLQ9cBUXPrQsYT1t0YAWETLeTg
x8DnQO+mxQ9ayjHP6+Y4gJovNp5rEManzGAx7ZchN+o9j+I+pzNgLbYHA0Qk5K52veR7VbYcM1wF
CjgwSQaFQ/4Ymv2yLWsnvJEzQfzEzHaZV+HocnrvWndeC6FNRxaiRbWc5rlVF5+Oo4YzGl0PZI0b
qM9Tca0Kh34XASGE565vuJZWxkrRQ0NTF5qvitcaYuzBsxjAM1pr2bGWjpHGmBsAERNH3M4Ms9co
haJ0a+ypPoioHHj0AggJgNSPiaJ2LpTlhRwuZYCNDlj1W+gzCDyEYeRAhLeYN74sjhaQIBq4COg4
xo++bca4Bk4eiw63ehE0GXEMNVivEzjBU2sHP63F/0r6VrxzYq3eK1nTHiahPwOqMvaOGtPdEIz1
w+xzYqkoIET0joaVupTgla/N6ajsWkElclrtblVgyuAYlBa4h8b126uhVxRWMwftlfENhnI7LABJ
jhUdcnxGveK9rovmwRYh7WA5c+RNPrOAFpkePitpm4DFi+xTJOZCpoMe2KvABXD2cCw+4VcO9WvP
iYf3LeeSUwPRZJeg1+NUdRC7FoyWb+yWzM4WWrxGhv78K8qAQGM1JTfTss7cc7oiGuuyHT7lKBki
yHmsf5WAFLONXIbk3ZSF9ZPuKHb61p3hc4kpeQebzyXcTXIjiilLlJ+G12GftBcVgUgoveapEuQo
NzIjIbkP0kG1ezfSTDSIW/PxyOxxTYQ0VfuU+WPpccZsk3fP8viaqJtAfwVFVHpbtzH5GDXOPJRb
JfktdwVQknDb4NIKuMRM/NACCJO8yRdv4N5oNsrKYt1pop4cXvnOixFO7cnVjB+3mRvNxsGY1yPA
gEIKDHCqo9siM11AST3dH3GV+LxLxsJWF9MflLyrXmVkUkeqaHHwe/Uvexz5qaNwQFNqzMPvf7yY
njLSceMgTxLgkCbOtAAobgsjy28PTuSlsSN8WcbMgnjpHcttnjz8Y82hygvGPTgLci6Y5VQeO4sp
0NUWQE33g7d4N3M/tE+exlHBW4jeGutE8PcrA495SN+ZZXEjcTGoQ02ANbuQdFG/lM9sdDPaXpdd
fMPKvpWzsqlQaZqX2oqChzKIBLkuUMLfyNXI+Tgxhk+u7shf+mgrk9+RUzm/dd4kvHk+qWAD/a+l
+In3hGeX2X8GTZVuQGhcBpBeFglbfubcXvINv+zaIaPkV17IojpEY0+V4xhBnjhAjrSnuALRxXmX
t3M5Nsz/zjqXBt0p7cCJzsvcrjiZfs8QpUdbITgkcuoReaa4cLMJs3/FcKmSctOQTKxje5koRMuU
Y8ZiPUJWlHoMhEXs7LtVmPaO6k/zjCbdH3U9Ek1Lw4lwQ5k/L0umv2ubxMPveee/Paj/Hw8qTrRV
QvifPagrXPzyNeUffwex+PPL/mq8N2l1gjTFTBp8A/4rBrd/R7FwEMRI10f4Q/hXf+UVrel7tOpo
1VnR3dcZs2zHIfvP/8ChChjR8pnLRjzbK7j6X8GLr8Pqvxn1MuPlxwMydz0m4hHj87+fK4vCrchv
NMVtb1NZ8AP3FgGshr5Gd2dmkdFEHGR6XczH3GllbbDNcKrq48gLmmPLvnagNWH+7B3oEzEjVI/p
16yWm6nxgy/RV/AvMdP2izg2A/c36IhlpWei88wEQs6KarQZ7X3yGedaac5pGHjMAJcC9gTnyyF4
oO1TQaWAW7gyKpzfwApfo++8VX+QLBbXYDvosxam8jlfeRfTSr6w/8RgEDMtJyoqVSO68Ckj9t5q
nFMQaYl+1e6wQMhrulp+44TvWzuy9k5lvuQCfxe1Hp0KbToOTcK1N7mVl+NuMcVHZsh+H4huvvfs
qgniZdYFX+rPxvLeNYRmL/9+AP+Z6DtKx2o2/J8fwJv/u6Htjy/58+GLsGyH3IIhYqx2Lzrh/+bh
+51uZ/AfrvZPjJn//fCtz8BfH7YVGYMRb7Wl+qHFtvGvPGyWu6o0f/e0ravAKqmsZknb9//xaUPy
rop08m9quwutGKHcYsBl6VmDqZBGB+4JIESCtYaDbJvctc1seXHvmcSLt8uAnxzKpjCN+iyREfpp
ZyxT79IFk4xspaNDB/MmEJCc7soMR1Wwr3tVu/puYKPKJmaXgXZJWzKJTPeDJKN+q1whP8qUejE3
D5LYso0gplw52FeUHMx7zIbbzl4gQoQL9KyFpg5sghEpVzqEIrtYDrbVr2PnyaqYx0mzh+8ICIxK
UxGO4r6AEPPU00T/JqvFyeJeClTNnnR5d8M0KmNsO0evhuO7LT9i9pfdFFWUTXec65ldzA315m0e
XktoYm+ClPHWiFr9niu3uOeUFOzbcSat2GdsqAWTgWHTOiiclMMa3aFc6upE6CZ796UnXm3p2O3G
Yk780UbhRzWtZcc0qIIgrucT/0guavQd5k65eUQbs3ZDsRZ6OWa9mh8j8TAW3CFjc56x3GigGsgk
QUTSBssQG3SC/0Zbnjo2xlLjEh0lsOOaJrR+1odlCeaHSNrz2YgKwZGDg4OxSRIjP2ZVkX/yefAe
SOgoZ6da27hmdRPiivH7o2wn61YjM37LliA/sGzSZb+4QawmMLqxGw72xfWU/WK0IHo3vrCda+um
4xb2bYulKQhOKreWG9CzADzzkdymZTcj01IFc95IoCHDdDvSQje1NKiI5d2Y624fUot+oLpnOcE3
oaSvtoNTRtr8iTa85G40RHvbckqE6QkKCIzx4uPz30/KHWyfkOGf/z2UnEeyi+HZHS4xesMCoEgC
bNGKSOoojW3OXDN1hUfsD4qS3RuPoWHRVrVRuqLHhm0oscyPf6+o/9SKanMW+d9W1MNX26c5gvgf
HZqnz//8D/KB69f8n1jNyjaM8E2vZw/4XP+9pIbeX2j2Q20h1/c7gsG/+ut5Bjn7r0uq+Rc8nLRR
UIwJOpfWyn/h+BLC7Pq7FZUpLgRIvhl5QhdB3l9187/RxSMb4gzN69XRCdM3XbLIDZKrFb6n18bw
n3raiJpVygpr65UpjbUfA1Y11K5hlb0YVNonhxbHk1xFscbS3ilahbJ+NrstGT0aylTU/5opyti2
q7TWriKbscptuOTMR+O3BLeKcU6FVNiFeb5PjGbajWnwCM0xvNdLDiJwqG8anWu+27hOwYXYScOm
umsVANHpoJzW11naHlZIRMICtbBfZUOProNtG+ggtmY9fqPRlpzhKjRmq+Tooj3qVYSUQ/riu6xS
9ipQBqtUOayiZbHKl+YqZFq+RD9axU2mkzsXtXNE9RxX+XMWCKE1img7WjA/kPO3/SqX5qtwWq4S
qrOKqV0lmHqsAmu/Sq16FV21i/ADH/FzWAVZd5Vm81WkZU7zw2YotiqPZy6/1KTnaK/FKu4uQ5Pu
eFc3ehV+axTgASUY4eiarNIwC8t07BxkxilorcdolZCHVUzGaryvI/0AoLF+LDHy3uZV2I+bApMe
UOaxuhAmTfXODhUXp0aUryND8Ae8h9A5pDHEjtMw2etS1T8Jx0ieCDN7N245c003aq8/0gYpuEh1
+V3fVvo1ibgBkr2JnqfaKWnNake26hYhL1NRvZMa6ofAAvkQaGKDTeUwG6ls5R0Hh0aHIC+4dBeB
qp6bsoF0Qg/HwbQr685tfg8xrArNPzW7/hb9K9x2uWPx4kX2aDFCRxKRdtece5mAdVo42p6FsTB4
E2ETCFoTS03dGvhmiBptezNz4NjbOijeA5uRyXZK0maHDSZ5LmymErTG17upztsnCkDBrvsgbd31
UssEr3jvOvagTWQF3MLzcqFzvqD8c0A7vZ89BetjKFOg56k77djWef80rF5n0BgGPRIt216E7g9h
OtXzjHL3sx8D52Q4zljEqRx4VfuWP5Op6Z4X0GDPmkF7w2uxviF/kVsY+JbYQOdxa1Krcm+nfDS9
Ec7L0aOHY80v0NsRQPAB8NxSGUIkjqFZ6/ll7My8D7S88g2BdmZiBzGv2c2qnrfTUNOqwfN3yKnF
WVMdDPGTKef+QcV89dxZTX43EwH9ZINTB2t0ui9vYkSejG13/f2bFQSOwr0aLb59RYfRQ7pkqB5e
7/kxFRHhgzutap8x1L+qdfbUeM34TdLwDk9vxuiVr3/x37N3bGnD92Cq+YNVUtgnT7GIbEkezTsz
kmv81i3ef3/SCm/gpy04+MeNNTOCzSew76EbtVdNuTfqSlog26IZPTOBsl90s1ozhtoNHujFc08t
4LFHizHVtu8ZtNrpGLjHjj77/Ti6zRnmCu+aDTtjX+l6+ByCLKfHsvWvHH3nGwEL+TExi/BRC6Pe
ZXwiKeeLvOQ9spH+6PjLUMySiW+kQn5iMMNtr9LMeGoXghyLzyCPcr/o0IL93P1+t2pdt095Ossw
lmXSDLFFsCRuC165OXC9W0tIN4EwAwUXvwDfnix2GgfVxKeeVO4GW8tbiIoZ2wDkYrDNd7LJ7pSY
70dDflOC8aPy2vcmR6Sr/TmOwos9jEgV6X2mTCi5Q3asi/6Xp6ObyGHIOjDka+zgcZIOA9HsMPjL
c9pLf+uZU3jr41lAD+cKChLD7uY2Du2mfRzYx8aN7RAVs3LLf2Sg811aBXUcijW8tMJ06wedE1sB
gY68nu/yKdrqqdjKpD07TZDcW4MxXa3JLvZUe2BA0aGfHfy2BIsTKXc3Q8LZBFjljkpBfRlo9Mm2
Rm99NukUK2F/iUZRCcDZ+6ZYRrlr7No6kRz66K3h2HBwZJus4lKNDqO2NHkzUvtVGuHHPJKeWxpZ
7ytFr3g9N2Sbamem92FhMm73too732+fyFK7MVii5bOmBoVqILQKrJT7bpiemmLswN6VaBtDFnve
whuc+xz1xEhbl55LYqrWd39mDskcDpLfXJ9MmJlHzSK8NcOx2wH4T8D3UqiYLt3eaNs3YY6YoJrW
vJ1LMzj3fPAxZPgQ/FXyZlq1iEHnbEZr/uXM3WOXh8FXbiPruVqY7wE65NYqy28DGY0flFc6O551
ufbAhzGde3gq0O5XsKYrNmpZWA8cVR3TYnGYx4FGjBcEsyh5EjWFJvOQ7MwmnO/wh2lyqZzrh7gZ
bNpomqXnxq/s5ra1/DtOo+UDHytqb/3EuncoZt1pIPccskejOJJc77bcrRRMJrv7kh6UHFhFp7lu
ARN23Y8R4vNWhDLaFpZ6NRMwSGbLbh8xHiXbMn6QNn0TmXMwZ5F811ZHXNAp1cZDso2ZyxiX3qVG
kEBX7PMYMixu0tewYB9upLMdcGDeguJKdxwSwk865dRjwNj4ewkKlzMEaGxMUv581kOiEVntJJww
5xbfi4BMvivd+ksCLf5CAqzOUV8HmyaVCY4zA5XFd/W+lHxtWjs7yCrmXZAU7QMJfJzTmeBk5axm
164P7zrV6ffGnKt3bVvOnU/fROxxwtr0fr5sK54iVvIhRxDPGk/ECRaiaONPRXqrcH9YZ2kn1rTJ
5AK8LRLjnl6G2uSRSJ/pwDKuvkXjVOmgAfMm0kCb9KmxU2Ux3mIfp+3BasDQtMLrqBBdNNvgNLZ3
Ldi5s4t1cZcIGmMSKZLniPjJI5JZXuwWKRooSlFj3A1p6J04KZQHy2zFLp+qhLpfr6X5pJ9+gWi0
r1adDt91n+sjXaLixRcDTjPWwi2Tbsb1gQbv43aUcQfLqYRUeYMwbpzNlgWss2xxbLHex10/FNhX
5gQrjxXya1U4O93qZyCrcCP7RF9L3zAvfdL0wG3a/iBsHOujLpOYM8NlwmhIJueQ2imj/XB5K/q+
7bZFo/DkadGDsS6tTZ5RLl1TxhDTkOgelna50EUGhwaXzsYeoUx7lVT3S8kZr1StZOdS4ZVZRPUk
CqmxYJXGmzNEdwDv5Jf+fXXz52EfdX66Hys6ZQyHvvi+z3N4GwuPODnB1ZbxyA7aXptgwgURjfNG
mtp7drqJQo0p3UpneZp9J7ibcht+WxgWB0IfB4q5qVa2gP+rNv0S03xwBrY8RW/KTuXFuJvMaTrn
ypLxWMjkBHfsNk/Fo5t43pb22OI0L/50kxQEcnBrGBmV2SjVj1HJ6mrdBCOEqzW6nFUWo4FaF+mD
4xdiyyMsdYpLSbtwQSLDSNkSUmEywI/MdEb70NU8nSbOv8utx1GljIu0Lr0dNQJqO4UdPFFvLCky
2LBvj+229nMM3ZTOZ/NHVkIZ51LuJK19ZDd8QR54MMxI7esmWlWsUT8lwbLsrHmRd2nhtTDgPfeC
VvIqFiffLZ3/mEctJTbLAOkcI9a2opD4KoLO+0mD4RwXdrP8tKQ1XHRNc0huqa8+nfEXeba6hAwU
tkDz3TOFunpVI+Q92pV9i4YkHlOOKjs7QUWejeCd9H5CZ8hY/NDgUjB49C50PupTayMHYlqYID2E
bKi+yqc4QTJhq6QnHTU+P5iUJUUGtdxe6d4sDgdtlI7PwAax7oqajnqrjKvW/cigvGEzyKPznC60
eBTWeuhPUYV+muifn0Hp0TejG8k5XrpHx8/xKxbRk0lO2ASxqBYD+99QnpYlAWq0rP1XLobCBzrT
lpeqN6uLzOoPLqBpvWttMaLLDKvs1CTtNm+yD6Ao7Po0tH0Gyl/XrGQY9mOTq31vmf0bxxd/Z2Om
eBwSKqs5Az06eUHlZgF7ZmMBPj+bbkQF+bzwpI2NfvZHPd6IDt7ZUqmQ4dg8VNeyEYGHCdfJfuJx
Nak4K/JpX1sZW4EZreRGroYt54AqCj/D1GThUKlnPWKfCF+GPujeFqdufi5MtTscB45rsOQHUROP
pm6+NatD0Vu9isnqWoQtPe1Caznlq6OxW72N9OeUd/nqd7RW56MvVhOkR1EXPplCU/7HD79SozZd
i9+GyWb1TqJDrj5KAPq/bZWcnleX5fSH59KR+C8RvtSvbPVkBqs7EyovBR4YNsvVuSlXDydGgduy
H2vuWfg7/dpU9+nq+aR8G3F+9YEuqyPUW72h/eoSLVa/KL/Ydy5+yTaIsnZvFLhKq98G039Pff6Z
qY9tkfn636Y+F5Ce63+6Lv/byc+fX/fXyU/4F6DGkBLgXTjI1z7f8k8lK7L+QnweORhK9P975GOR
JCCObDOE9wPvX5Ks/PAfpugUrv9OQiLIwI5yzX8M2uRsRF6JJ+lEQ9ByIS0OvMeWqEBLDQzTGzLz
OAjPSje2NSDQW+DeXJyJ6zHObefvzNe5YLcgFTkplD7CU2TNbR+XiQ31KMdcCticJ7Ar+4V1vKBN
/ibJg3ncNbKzdw6P1IWMunnkt8QkMmfuVFJo3aivoFhttfjCln2P1ZVaMyAljwRiA567ZIKjqLEy
BPy+NEfM5And5Nx6E3dbv4GFyK+JYS/RDe5AONl7pmHwIkfDOc241q2Nn7lGQ1UPRUlj/2Qlywjx
ae3TwzUN6OVTpU7q73WEDfnZVEma7+oxncAxlpnhvWVmRMvlJtLRkGFydkqq3HUtOn0v7GDM1qI+
nd4tEZbMfVvOVvqoU9Pfm1VZC3eTp7UZ7m2J8rY1MoI4J8td/2RqZVHwOvVl1xx8scKuqSn2NnSf
0CmXWDJIt7jWFycE4eBb3O43tQ/u08dDmv6slzm9qmBud625VCwhAY1LGysV4Stu2MEAa6KnHfeI
4DD6C0dcjdHCVP2HVwh1F4QkCXEDp86x8h3rYaGTHThVojCSPIAvrg41IMeLJQGGhbBtexUWsap8
gUFU74UrOghapc0HpgvMzTDmbUwuK3lQGAS+l51XvkIpKCE0Nlns4ECNh7z0vhjuFY+hZKsT0SS2
TWRE+4zgymmA//dWeBL0fpax2QR0C2OZ5h6SVEe44tUjg/7ygVMuh01q5YK40eJgWNo/g80+TdH8
DRVUEY6KIvnTa7F61mUWcHdxaD1P/XpnasaIgVnJ3ZrujbMlr763Crc2tanZgaai6MOH6EnJXtIX
90yCxI9UWZ6F/2o276I5xDo7FJbBeuuvHm9ztS/Kbj4wj1yeHbv6Vhid/cYtuEsxaJUfObSPZx/a
1tbFvrsH3OCe8PyDjhQTfbKO/koSGf5YJo5aUddyY6LXffjRL3JXLDmB3Uy7m7LTN2Q7PEygHEcJ
XTr1xk+T9tgDPD21SN0X7HrWG31h4R1XaE32TQ8nAozVqXHnKCYqI79JQCJXh5P4sXRq50YTt7ir
wmoloHbeAxXB1t2ouuJVYCV+4x3lXDKNzs3YLtURowiC2OJWHxjVIABzZwgor3eWe+EN6rYesEPV
eWepDaea4HEuBgraYYCwrDhTfgnn3nnAeuSzX/NIHKupTww8Z3l+bvzUuY7hKG8VFTUvk4QXj2ql
Tdi2Kr8MWSm+jSVnvDz3uzMjwmZnTHn0hvuoeO6VP9wMHrjd3TQGxRm4yGLvrTqr7z0zSk7dMmmS
c2TMTHbJPbAM75enenFwA39+mQobF3xknLh21qfBSy501DVbTLvmRkeY5awmPdlRdzN75rziSDeU
5Y6fHFlo7yFncDQZ/20ar+MqbTGFYnYW7O3MJKA/+eInU5DxxhQ6RwiciSI1rn4oWk/ccaKdjyAt
nYdk1vPryFHjgxYt9cALklynthtfkLqsWLm63vKcDNu2noqjRl86UN/oCwod2/J7l9N6yNvO02Jo
gZW57D4ddMkD8YcJuHdiOrvJn1wOpP1wH1iqsSmMmZmp2mD1Q27XvxZoWcaGuzjBEBMLLPrvN/zS
6pIl9X2nuLfYrZ2+AlOuSMlEYj85FL/hMsjNC0d08xINZXRntLX9ME8KajXNONFt21p4fKrpWnF4
rDYWD+p5ZPy5XdwV0ZXoYTrlpZWecVRy5wvJafFiNJdRcJMPHJaapmpuDEDgZ1ug1/ozOPzYHIwk
lsLnRlDoqecvHVLLN8qiOMpZip+lH3C/wSvIXhJxHWzt92JU+amSHokj6u2+WX0hH9NgCO5sqmQ3
xiiWasNlRHyXzRjdTV6wXLDtGz9wqZvsaJZ+rPKW6xlPT3DbaD1/zvip57hMhXdsGk+fjbRWB8AH
6k4NvXO2K7tB9hPiWXuevJ+8OQGDrRbIRVP2wM7WvfnR2P4Mhyb4NeeE/zb+ALUwitJPzf0HWWGJ
NqQUSDGE4808Se5lFrdPA5G2jCNDGid47VRKm7JSP7o6tCrc3JqGXRxjxbnKXPGcjM2wa4H1nkKv
zpPY8wEyN64l9gBjxUuYNr6/c4Fs/3TSNDw0OPguo5WENypsSBpNS3/KovCIiGNjqbTZ31Bmh+pu
cM3oWoS1vJTWPOzGULZn0RrDJRmYmBduCe25wsdtqGZ8IbZFjWcXqTVXZkzcyOnveuhSGd4uRjR/
mc5YjZtozNmuI17jm0oPxrcs89Co85alp4TMtWkl9tJ10e58LioJJ2szbK9B2Th3uZk0LEuMz8uw
msnOJV54CAaQd3wmdO7EVKMK/PLou4Dgwx8lnsm9mTs/3FG2FyNtvKcwXS8k5uTcakzcLIOzTVfG
YsZp0lzWN/AsKgfX9IBjfm7yLaqzfRnDoTilVDNt+qxBRk5t53sQDmpH52S1Bz2yDqLww2xg1mFo
YXOsypx5Rut03K5N+RAwZv6gG4xpojV0y3bUKnrC+knzmJD23syIonhJkblxbXTufZkIXL+2mqKH
Km1QjTI2WW06tyFITd52hhMXYVo0j/vTGWZ6uLNyQ3xlY47ljSx0dPwv9s5ku3Eka9Kv0g/QqIN5
2JLgTFESNYW0wVGEIjAD7pgcjqfvj1lZ3Zl5+s86ta9F5iZCQYoD4Neu2WdQoDChEuNY98AzoXTp
/kEslXgotZD7IrPt/ex4DVx96mqVgom9A/YRvHEWsJ9nJ8JJSy4z+BXWxvhet6G3hTD+jYxmsDGK
6NGx6frl9zPhWXBO6ffkuLBsF0ORHZGzKIHECAhzGgJawk1bLj9y0aFMkv9TR3ucY6/l9qbLMOWj
6fYsT0rvIeFsurVybtajX7rFFs48hBFHLpw/Zi7CF9xSMu5l90pavL6fUAgARi+mu+N+R5bOHUuK
Ygl4GLkV7O22oq3XAjxFzj9/54Dm92ujwHMqdbIfRZGs06yMUF8tHL0Hr0qtNZ/s6kG1YsJx4UK3
XNEkz/F16jW46FJd/a7LVqwO1cE3dXOP/VrxPXH8jg9HFHxx8M02rlvaO8TZhXirzWGa7pEZlcw2
1dNkVukL/dnVC67EcEtt9uIC55fyXpRDdFpKn9NK6iUHMxDMgvQZwdMqW+5gq3BKDvk4YdWeU6c4
FkMUsdCarHzkiBlB55Z22v90apoYSZqWgwa2tULXPScTMa95CDv6nTP5iO3MuXPdTl8i2VlxVObp
ekglebgGz0DKwf/b4oenwvWfUz9X8Wiz6sg9i9/SPdZlYH3kAbX2na6IMCc+5vyg9r/R14Bga9zm
c5U5sWTLsBHO8tll+nseGI+hQCqDx+hTzwIcoyedsMblqXamY8BywlA6MyKc8sqqNxh9XnhbnO1I
ZIR4S/TbjjiBy53fU1jq3PWe+27d9h83miBZSmjbZQlFQdQVL0ytolVVazioDu20bcD+BqXVuYWQ
t1lKD3CYT/cZxulX+tYqGnXmtl6beGq25LnpsTPmBXEVaWdpNa6YW6qMGMQKvdN5pxF93tGqjOkb
cHqUeME9KFxYhT5U/IaP3yfVrxs78JLneuj9vTASffTs3rzL4LDGU4qLiNJMbnN9lh9yEYRb3WMk
F6yr1xpNi7jBkF7IBnBnLwt9T+qpiouw2uQLLbC+RP5c+4JOgT9MrQ//NFL9HW6bJRmJQudmS8AC
zXz4ZzNAlriavuswPxT1LS1ozAEh7AU27U2gI/poNvIHeHPSRt1I2+HfP/hfEvpMpb7tmzapUtAT
YBn/8uBL3nS+XkR+sOa2+7EUXXMWeZXRBhSV179/qL+YNm8P5UC4xAHK9Isl8i8Plcu88LEW8VDC
lqw8rVBXGPPT9uffP85f8R6/PZAbUG6GCYQd4F8BDmVL+KUrg/SGQNLbjFXcwb8lLasmHx4kLMHo
PEWZmfOm158iQI7mqpJm92Q9bsN1kvHs/v4p3ZARf3DQ8YwCkNFQVEB8MtMGiBB/9HuMdL1kA1PG
gWZJOi/qDpm4IMuzcqsIE7uZZt2PeZx4n60uOf722P81Qv8bIzQEDwt75P/swzx8fWZ/8kD//hO/
K0eWBVXXZRmEevSbCRpT57880FbwD9txLO/WCsYn+f/KRy5FZqaJEcD2ifbgVeSD8LuDyLUwZULA
wJOJEER30X/U2Erj6Z8/UubtXyDbD9mXpILl/BVfX1qJHL0g8S9Y9Y0Dx6dZnhpiXwSKQ3KoFGfN
dl06mBXMyK+elpxO5u+AU39mYKCe3KB0vLXVOs++b81vZWDkJw4cOBErO0QeEo0f1gSf+qiNGSmp
ACMxlVLrmSolX7giMUs2U1459amM8n7HBrgoLgGzDSt3WYVbUpnNoU40TIxi5FCIMhM3deUytnGa
yXJIopsiGh/pMb/VfZsqOVesG8/9aA877U/yaEed+losemLrgc1g1GOeVm2wM0UuPrq6NNfsxnxy
mP2n0xW3Wz1xCLpOAWWfFp3Ne1O07pY3yrg0GDpJdgbTNuOC0SXrjnLXqSMfPVr1tPVo/GRTTtnK
vZFl9tuk5xvPWMQAFjnB5Zl51dD0rsMomxgp6a3y8uhl9mYchA3tqMKO3uY59DfTbWZ1pvrRLQy5
d8fOvnR13R1GzCxrs6ALsZ5adfD8LL+LjOozQvBj2USQ06NE6CRrmkHoo5++92WQHHTiOduysaqf
N4z4ZilC6ydiZijXYd+1+8jOf46j3W0Ias3fPMyHlBflBQhxOONrWVfhh22P0MiCIuO1ad/qvH6T
Bg+NqRzkS6YmYFYUc7A4bDcgAYO1J4KaI4XiyMVdfOLc4eRR/RQsM4wtomnicPtEvsip97dE/Ago
4WCCL2+PMl9lQQDDmN6ouDHY3+xMYp06FqQ3x5XP6Hl1S6t80Lpf7hOVmQhBrjxnjm2wAjdnj0dx
WixWgbtziwoiSG04+ZPy++rswRc5Zyzf7m7m3a2fJepBdbLbNn0//xhCt2qYKahnH0tD/Irgf3Aw
Ua61q4NCnVnx5fvZa/rzQMNsu5p9lX5lJGrXlSBqCb23SSlUF8HJwq3SrvIhMC8YxcyV30VMq11j
m81a+lO0SsN+fKWplaMC4SOb0H4p2TVwwI3tNJu2U2YT9Ddqg8Iiit1PU42IsBqESy6ZjWC3jdR8
ziVPKpAoK/2i+5eUvUqNmdfOfrV4vzbM/RHFG6V/7jzjy188GHlZVtCMkqTkMzsDJWReYFI5xPW3
QWFGbxiaytXUBSeRYJqrQ5JoFWTF7xPFJlsb78ePUibLcZlrTtb+lPm7WzHtChuG+ha1rvNglEkA
PCxMtiONMem6KZU+tcpwabzHp3hkplIirhMj22jINQ+BR4PLItns+D4wv2F27ENPIu1akeDdhZUa
XwEAtCBGGpBCRVJir47S/GQIkqQep7d6HUb8Sn7L9m5lV1GP41eR0+8mveE0W7CeS/QmR4J9mWZJ
h5SS1jbDMB9nlHGtyKsnd1nYdA++L2Pm6O45Lw3/Gjnjvmuc5V6NJo6mOTh6nKAVzkQb+SOpWQ4r
v32AQGRAJbF6WtVEqJ9Q+MRd3U/2s23L4oPsrowNH/PHSIjkEOo8Sw4NbVh0KEsKkVk5O7Mw79hb
YsFo1WPqyu6sC1GsuXial37k7cYmlq2bOscYbcooTh1lHhZpfeHV9C/Clc0BIpJ9qPvRX+VWX68J
n9rl7U3edaBz4yQXz0YgNEq97QxPLOn1z9oUVLHRD7nXBQtZZOeaEkULFxIb7Gxt5V65C+hciPOE
C7lpL8Mpz8b5palMdytFk679cPLvzBnNoW25EEXAK+OEFPe705rZXgPuWRtzBaXTHbSB3wZpgJvg
ssdVb/y0CmmsZiaMtfbd8VeRGO3FpYDtikJkkeeu8a9L8zNd6nQjraqiTHmaQDr3BtNBIrN3e0mH
c1dX1x5X3TGL/GbtdJ04keseHpaGLbKaw+XBtPLovkeJl8jbybJxU7/b1S5OBDacYdyX4RSPQeb+
TG/OIBXMPzDLQ5/hmlmtklIxPZKRPWcGPppWeOpNQAhau5ZYriCfI+xtrf8OVY7vhuML+C8hZIK8
nO+abDS4YKXEur3c/SiriQRvQOeOlTTNbjFb61PVaGrUkb+wfk7WttL23pt8UcMYSjz0UmuOBYj8
A70U18W0DpwekLU6ohWb0tS8wQ2hqjjIp0clyvSNbnLgcmPdr7TfZA8FYkGzMmSqXs3Ul8fIkcEx
DTMRcgVNkBUUZr5+MM99YDjXZRkfxjQnsF4BTwFxUa49PnvPBQLSjdKy4iuR7ygkg5/A8fYQhca1
xH2I16JrqURyknQNNymkOMMft2k4VBu4KIxjYXIm6VjuWr8fDzdrHZYicvZKkPnnC5VtxxpQQzog
PtoYDMDOJPU59Tou3ypRn1luip0xmf5pmfrghxVU1XcEe+Pi9d1j79TeE5ynF1O7cJejRLI4dygA
HIxlF47BuJFeML30dTYePb/+LJZiOGQFUDxZ0gU+ocntx6ViFTMbaX/M8QGg4KXutU+RhpYbVQUS
jTfBFH2EKWC/Q4BQZxLO6K9YA6c3K8+NfbVM3rkWOWpn7m1bp5Br0yYg77uvs4H6bwJO2uSNg3pC
C9NzFKZiN4LruCezzWKiFxB0ZPIzRBpf4wDMdvij2NnjXCH4UC3nzHXViV1M+m2KelKl/dTG6D8y
JnK3/ELHeSYp0VDJVwRPZcJTGKwSry+YkZVfOHcTV9UNy4GPBCEPB6kLgUW05wrQHvCC+awTy32p
ZInBFlDJxjW6aUeaJNrmc5l8dKOed+6cdx9suVltRXTPtpM9HQJVjNvK7z+UxXUlMmtrm2J1KG+u
g2rMPo3Rw/WqUT1YUi1HkjSroEyr0zycghZmM6JsPV3cCvQj+FOC6WZQvRSG3zxxqCpPjQy51XsW
C/VclWFx37aDtWPnKC6AG6jNdcQunM3ujq0MDLLZM3ZZ4dbIb3Z6DiBebTq7GPcprgOcXrCDWHSI
+ZC5Fba9cOxiXRQe7m31QaCjWIO78cQOe8hyL3ARo2N01rFdumbrhWr+HMMkrNA62B4lJPg8Inyp
bFjxSRf5a5l/NDT9ffhAZ02OuZ91GiUxT+RXPdZyW+BzIVbSGN1B92a4RiCjMm7pSgrfZFkjurtl
Q3OsjZ+3pI5MTbXM1uAXvoBR2ISmF8UtzSfe40U3+29Z3HPuZRVnVltF0nhrJoI7qEqsIwtbatFc
TptZGJr7xDHMXyGcyNVA6+RqHLDFUnWdIjES+eXo0W2Arj6im1O52Jsa61DS36zjNnFd3uoPYKzp
3p4RboNmFP0KG2uJJXvs0duMPpaqwsMogyT4JjPzVv84Bje0l/kYsEoiWqPT4mKpwfoxi6C6hyzH
BWGyK9zDpb1NmgX63FM4J2MBm30Ks/ZHPtYT7vm6qaL6OZizsnSPCMN5eRrmMGqflZ541Ui3zwbt
21HDSXlVdECrHKznVjCxUCy8GEpUGVCglFLeMyTFAHlXzz8F9KEvVsPeijOCh9DltB8GMKSttidx
wIjGUsKawDPDZMmP4xTKOyn4223vt+8O3zyn1N2WRwTZh2QXj+jNuzxgfUTH8dx8dQkybpvP4YEC
xoVvMMPcJRj95wVO0Urimv5yK/ShFUsucQIbrzY4STv6kGkgLPy6w50s6keT3WkMEEajHmRq3LvV
EN6uBjrm1GfHrcsRxlY9mmKal3t29+4GuIF9MpsevILZcQTw2BxhKEaaZfXiINryeGYpWpj5k/tG
CydNmlghMDj2lmGvJAvutckrd1UIO+u8GvS78pL7lF1+SkN0ND9hwk7jqUhZRwzjYt6xf7fXxUBN
audUM2KwF/ojgXoR3ofchQlR4I2FvADuZtULYqlzXRTPaVgN7wNHT2amfrroZkmfam/pt+HtxU6o
d94Z0cD05dk1aPpkUh1UgXna+KMwD7ro5VOS1OYQ5y1/dcSYfSj7rrkOaQSJTVrylRSc9c0CafOt
adPXpA7Ms0t5Zo4FmJ5G5xbBWjURjqJxMk8E18QTeKeenWEimuAOmoH72GTyM1g6zMFsH1PotJm5
UNZtctvPl9RldQNU4L6sdPVWmNigw0Ilu5C8ckq3rmXvGIWGFwxA6msCjrYWYD7I86ci5hk126LD
fBTPXbPgBh08PKESQM5AysyOKTlQ3xdOfZz4DWKMXTvrBxmEZcaOvcqvXQpQxpQLTnQwQPamJyWG
RAljkiRGfsgIDZ8B7OaH2omCC8ALBlhEzdg3je9V2C4vVBQmGBMsn18OU3G7Mb1Sv5VcKmw++cpc
L0Ww3Bu6xaWK3LUb7Km6NrdzkrPwueoWrLqWNGFv2yVWTk6+6xxn3r4pEnq0Gcuwjje3g6zldWfP
4XANHuiGfVjIu2ipAvRikJ3yWzuosL5nEdY70Nl8hjFpcRfAodJn4XrMfOySsFD85cvA66serAh3
sZ9h5c6bydBvQzOL+XlRBsGBlTEw8A4Po9k7dJGPY2AHbG+IhqoTL0kX4uX4rW7L+Wf31v+m7LzP
XOzolyWdd4kRyOeqqufXP8g//x8h1vqLTGeGJuU4xMqxFgJb9/6qUAo5q4L1k7pQduKR2bQzzHMT
70h9MOB6JumHXTu7qbBZintbSsa2XkaEOkjuxLhs+pai58nYRUsR09S4+/sn9xeh9p/PzbcB0xI9
v3mS/iwh1tYkGzOx1UWI7hIIzorJPp8u//mDkEhzA+zkJEz++gJ4xTAz9E7qkttUifCfz4KtCdrt
bw/zX0ny30iSDu8fn7n/WZJ8+9kP/+s1J8zY/DnO+PtP/i5NBgH158CQ6fuyKHL6U5zR/ge88Ij2
I3B8cBv+4G2j/tynaIo5nvQhrTc3Ffp3cdIJ/mFF8NWxMEFWQNSM/pN8I1rnn8VJlyUGSrcLZYkq
CJ7lX6T+FCpQ1RTMHH0djCdAaRTHAmPsT46uXbi3AwAitjzWlZsZ1EbgUWY+53FlWmoP6cYoNkky
UskKGfEJSrrBtaGKXnNGlB3uiRRZaozaUzt7cjv6NWVZc5l5hz5ZAtjQBUPj2jNcBVsy9CpvxZrc
j6eIFm5P1PNeJuSewnKc2KPdcKAAZV+spo+gqHhog5FfwOFVr1bPTePWoIH3bpiWNb+S3ubTrbjA
LcbHVLXWcWhvlJ656RUgaqOamM4TefUACJ35EUvEnRlMO9Eaj3kiij4GVaX2nSPbu0Ux6ZHnMd8W
cuVkHk39nAjtbHXXZw921GM5iZbbb15BCtrYtZ/HuVVUW4yKjKWZ0vVTmnkeMywaZdHzx4EprVNk
5S9t2XpoVQNGaldzo64wM0izjdOpxSve5+7wVFKn+EDxIH4YxG/8aX7nWttWo0ZQF20scTTSEAYN
yt3YYsLEBwo95jmXMZZawvgtAXJC98EqmZ23sQQdCgT5HLgcr6wxu0/DZRpiW5tuFVMcbiPVctWH
srW454FpJYGaTF9W6C8DgN1hH6lmeHF7DvgrUKfWxphsursK7dSrrm883g9vPC+hvR8K8z2HLxOP
/C6bMhleE5Q6WFXdiy41C0vsYR838sfRykRAdijMYm6Yt9WqF7PbTK+wCh1U3KCt7kLuaxd8cmzG
I9JwwUrUpMrSsfdB6BoJjsEAibRLcNrItth46W30WsTPwXZSYjYY9/G85OnDoor+OEfoUoXvrKmI
m880ISWcbn2ov42RPFrO8C3FL7cm/F8eMtby6UkNNHY/znCX5GeHLeLDVHL8lReT9egD/joVqXSe
mEhZ9BPSO3s9MgtJ3JqXjEm8uxtt80PN7OVxvxkbW5k/3ab+CJRCn6q9Rh6mwh1XVe6Y90CJrJ7i
cU0uLc3G58XAF1hMSbXxZUIh0lLTILQ33dErttCXQGVXWG8+spQQZ2zpMRcEfyVyWVl0oMh4l1GV
h5oJuZ9MYCe4ykszM88CQrOznpkuHydhPyjPemeD8G4SeO1Mh/kuMGuxj6ihjtZukMlux27f3pmp
7b95SficJuKnScQDzTCoBCoUA5FXTcQ7ssqFQhVRdACA0t6nXHOu/AvpKqCW78JG+wSFXB1mq0FL
YValdmpMe2Xf9VG/pBRUz126HjvxXueGGK8dOWqeUr8tjDF5mEhDcagrBdB9Z4p7xu/taEZEW5zs
UJbLJB9tznj1nla0OoJ8rYtT6eB72uQclKvVTM03e3GHkctpswP0BGsjxaBWfmAYsSX88M3tas1I
t5wArTBJDn22w0ODw963ja2X6IlxXKstmEO6z+aq/DZzFqM2WqoThS7grQfM6Ym2RkxktH6VgCMf
OVuVG/YGGBupRaXGoHTXhazlsSidJW7HUewmFxvIRPbnTk2e4hWgFf4Zucg7eHgS7oAtG68qjbMR
/cgs07iuaDTF0oDPfTYcSHbwLvT8zU5mguRdbx/mBUGO/I04wQRt76zKQfn3cBvRcNRKmyTczbdy
KInkcKXq5KOD+PVMgxHCs48jM/NwV661WDSnOAyU66gqy/eFTdDKnQN18lzS3FwgPioEhFU2jRnh
jAA+LiF6C917ulRLqn/BU5340yBAFE4htAa5GHdz0v8AZyGJNVJvv8r8xopb20TCgsq1btukI3w9
fnBjwW48ALFswKLyLU1aY0GkV8pf13U+/LAb7jabwA36M2itaDul1lPK5n7vGDVAHdwh664h/lMF
UMiyBdYFDK+VxQ12w1FJry32H3ubLtmDqQMLE2OZHXxFEtnn2HXyByARAAjCbS9M+zxiQIc7FOSb
2a6uiU92IehTPEdUOoWrpMt/ATgaW/iLITM2Ofu1sqYqprRbHiCawKwsMM/GOKoeOgsrcDvbmqyt
q+8ykeZYtmaCZ5Uw1nopo9hjG3DUg0y2apQnwr2SemLoc17bEaurhdoUAHzPg8MQuYxuduiW6HsY
DfUBee9LRum4GUv1va7BcZiWtji6c7uxuuwQdsgOo6oc1gThZcIGPPRYxpzaRkOFq/6o3LzedgZx
IV1cOfgbjyorHmZe12MCBp9vY3VJA4jCs1/ia5lzNhgr/7ZpYtrsYreMCHR70zjcvEH6xS013JKR
1/Uqxzz1j+iEerxDrUnbjc2ds2OhN+NBIROuGQld1VIp7zfhQsdGEonlqc7NyPimenvW2J6DcIlz
r8fzSJkvNSqYg6vbmD5Ylt5DpH/ygs4v4mWiQ2fVl5V7mUqr42PlWc7KLgoAaabV1T+hZs/eyhwX
eY+Xy8hiIJLLmyPG+e2WLT4GWJlP7BGp59GGgqlYM+/BSSino8mWhUt/hYd+nrJhr2uThFXNFTNE
yf3URUg2tx2L40QolRZ2O6iv4TLmx9qse1YA3oa4pEIaCdMvaY80AgzKe+h1KPFysT9xSO816DRc
Xkvp8AKVupzZiKbpq6sTwBEFnYudKEkRR7Xj7nOGxyk2F1aUCsoCaxSCaQpTjnBOHQ6pbDPYnbD6
la1HeMPcuUxWqTfLWagzTGN9QEnWUlbZUffYekGE99N4wJ0+nqqsNA6GlD4HP/qwiRc5bnRvgXog
9TcsMofmTrlHSwVdF2fO6Mf4P8333isyi6Jms3gMs05ei6hQPa4/rL7trRMBf9u87ULT3+NzwtMs
y3kysc52AYChTg9vMEQjSrMi61zjqkRV4s3/RmDN3cLaIblHxgItbCD8FzbK4ecRT/rWmfZpbqCU
GnmfbhyQhxdX+2xaOQFRJ1D7dnhwc9d8S5IMgIAArLdORycstxS7NiRry8EkWT8M37h4LxuHF+mE
g/w7S/iSL7Znsj7gvCVXFTuCmXVBmW0U6jpKw4gLdyDuDerRz+p77IoAmPwyGzeDl92x3BDsFOvh
rFDxDn4WCsyGCEKPfdWx+u29ptq5DRD2iDftiONbTnGFXe9rTsLsI+LM/WJrPzglbtYQ/tdTQPU0
RzNGXSuN7mrTw9Spg29DDadbJ8Ai/NRzt5WxYLWfPfPQ2XrpiLgX/rsj3Emt+1B0UNcCrgOVHd1V
hdY/bbZaa/QS65PraX7MFRoIMqz/bZqI565LYrvJ1pB5FsaDSXglHepuq5vBuY44FDaez2YbFnm5
QTIBBDvXIwHZaTotAZOqBsdz7YPyRkRT87rwSDG2pcg+ES9QuewWE4CVt4O/EpboNtKehnXdzkiD
mDQ3hp/5W2CLwZfd2PNZ9PlyCUGjPgllkYXjel78QsXun6PGrL6lFhbC2NNFdETrS445iIejyW5r
SwJQYjxP/UdnGRRmUazA9mLyANQLrKzAFRvdBBZnf+oaPC8Zka/x2XNprput8oW3KyqDOIXJWVxE
lXqGA+9sDVLbg5AFnes4H4sC9b0IAvvERYIVWJ3xZQkmmwMLVz6n7PJ1ZkixQZ/2N9q16pZwvZas
okFhl51bnOB1JJuqNiUHqKEi5sk2Yh9Umdrkkh7gaWjVl1/P6DkCBfEOTgCAFNW5/53/fycP/Zv5
3+LA+rfz/6Gq8oaSjT/m2X7/oX/l2YJ/gEWwGSI86Ca4j/j3/l+ezbuV3N36DiMbEQvD0u8kI9f+
B6whmHCUwgU8iZub6F+jP7A4n9sb52OuUxGKwX80+t+wc3+yuoV4iICp4oJyb5VS0c239Ae0Ue7n
2DesPjvOEjoLowqzqAck4SRkgNVDz5Ybu2MRPYlSEvq59TfhjZlCj0x+zwJ531k1xYVhW3FPXwKX
DywDhuI+bs6PEB9qd2cVRN0ey6jo3iSMX289wdApoIBVdMBMpL3YlNUhl1PSIPZq5DYK3IcKq3NU
+AHituqWw2ItAxNp0UYbtolOt5noriAxpVqKQPpEkAAODfkdJ3bw4zfQB0Ep6NGL6TB8i2ro1zr0
mEMtjCb2ObKHLO6j2r9TLuCWehqvPa0P26CnqG7FIsd0EPat/EkUhX6cM3O4dKldX2/UmmYTzK0B
rDucU49oi5my7S3EtfIEjJdUSRwRrd6n1OYebdHlJ2TXHSF0mHVZm7dbr4HtYvcZ5OJB2SX3RzzN
W3cIbG53XAxzp6ueLJuOoShzP1Jg8fce+LqYuKzzMNpFd5ha7caZZT9k/tLH9GvgMteEp2eBH9vB
Y39xGnX1THZaXlVhURVzkP2AnS4I9dCkg4OlPHFQAZbuz/JKqCjgZc/y9I61k3tRWePw3MZlPJuK
C3DbXhLs6L+KyedwTfXutvfoCE25S19tPyKXQ+rZSkCI+0YmQUrzPwDSbxHkqFWHQ4mrk3ecFM7h
gKjaU9H1ztWZo/nkiEA95L1JdUSZfS+o5v70Wl/FiMYnhh7NdEKu0KcLBSVfGEyuc/1UdWWN46Xq
L7ZTZuuBV+R2Zn/sqmK4GHMJAI5v7Atp4QTghD1fNP0useDMurE8nqkBpj2+BRefl/A2EVQhh691
0SCRrJuigLshhHVyMmketTl+Vfx9NAa3egymBhwzXKzoGtBg8xgCncMCkxTY7+gxurgGlqZCoCiX
wOJ3DO3NlekYy7w/Dme7dN2TruyV6Ai5sbrr71rK49/xAdGIZgxDdnRvpyUaSyrJsn9yY1mWasfi
LuVmO558op5HM/PvpqmXAKp9JlnZcm4Li5m9S1NNJTsiuhBmk1KTMQFGhVzzaqAIw7m4hnCTtklw
ciewzKAooGmMxUPmdPcGqCJLg36MKvfK7qHaNKH40YsguEVfX/WtV5NA/UcddNUWFPGg13VuM/rh
PgEdc6r0l4ESsGrJajCFmG/uGAGUIeS4F2oy7lQYETYaRRoXpvvOxbC/t9H1tgauuHVVpt5By959
dSl/gOsaIHwkHUBpIA9+YRwDVjYrCNzvFAjIzRjUHYOctFl8HZcB2a4espUcAIzBWmoSVohA4ZhI
3ZqK6qLeKCU4nKpiXrusQq5h4lSPQBBT1BZeZoYs50C/8fxYz9WyawAJxnQfdLulnP07t5uArxNf
6LSblDEGJMVYNLyOljb2htSEeVwruzFl295VJgwbA39wLC324g86UU59Bv98qbvwe0voZeP7S/Rc
sBXaUnPPwEuU7UE7YX4PL+GzcQVuDeQAzPPWpy8mj376zhw++o5fmcIYxElR2ae0aljB2x4faTMl
2VS7FfudrHrQXHZX2cz1rmo7MPRBoz+WMQIqmXB9nkY+g7me9UekmdWA/5vySXaAd0yUyzRs6vsW
wFS0miL2Ug/EKmD/CHaiO7ZrLHsqj5N5vxTtgcwhhR15M1AKLproOhTBL1KZap3a4LdVFhJaonU4
l/TvsVbF7V+3yZppcpxZnCNZ4aDMfWNrLRT2hPZQb3VGvoqLO3ameXzNKsYPd68nQq0QcbORe4sh
f5RG0epVhpRrbkgj2+wHu7CFzNbO4b4cMUCcZ7fzH2du2E9Ol/AVKRUfPZwqk/ett/LumC217hF1
HO/7wKc/X1ujTPFhGUngUiQjgqukR4wlIYyGI0pEeCT7YmyHqGjSfSKHg86dFGlrrJ6ofHFQpCaK
z7Iy4YMbLSp7pxmw30y2W6OuptlnyNYvWtHOROtsqgf3nDqdhbvEFQFZLUV5/STYdCtnmshzzgt8
CS7tv5rSZTXnuLa6G6a+f9CzLc2YNCaizQIkheAQfTQzAswyvpmJIz9lZ+bv3JOZuKF134E+qe9J
skS/zDkb6cOqEudqgDt/M8pqudRmcKCwEZtq7fhfXhN5ORAXR46r0ZvAZFBtdvDa6cCpGyox5wcd
66q72YsTXkWOtVn4Ok7aQzTtqy+D6Q54x2jTEOiLXD0mTAqv3EeijcD3SC5Fs8OEDCTgvpYWnvou
n+cfJVtNl4tRCiOnbCaEBZae6L+Z8UDsoKdS3Km7d9qzyotTiRSGczJAI7WjeoGdKMsvd5DlFQzF
U9VXymZv3CQHDKs1yKaMLyvREHm/SAdke6/6UK9shs16o+2I1Cwn6HcPHO5Ppir5EbpUPDTktAhF
p1FK1Tyj/rGziumh8bjerJy+M364pu7vNVUNVOZSxvJ/2DuT3ciRdEu/Sr8AEySNI9Dohc8uHyS5
hgjFhlAoIjiPZpzs6fujMvNWZqG7uu7iLhq4q6pEpiIkl7vxt/Of851D79NcdPCNsfkWxlMVINhE
/bGxlABBmGYt1gm/zL60Qeo4q6AW6pY5uG+Ji4gWXlFTHPnMAXdHFuYSODvcffjOw63wO/MtClXk
bKvUzKeNNRjuvi+c9IYMYu4xspLpxrIItS4g7crxjOHLtQYcprntn+dRtYjpytt4jWNu5qGX8JB4
w6HQ6jX90s62NUEieZmttrT6hc7Kks0jHFm1ka4bngtjIE3lA/3YTH7WHKXvdMgQRdW9IWMqzEIo
7taa1tf6az4DENwqSgJamoha/ZMKQ3GJTNynwva+O3ESvvhJVb7DQah3IgEQhhzgR+VqHnJwM2OY
cyJizDaPqW/6lxDi7De2OgXUowZGmx27mgi5mMV3f8QnriJLvEIWgOEWlGLCGNNhfa5quz4AqOf/
5rrPgwPlGvMtIBY4rCc7sd6HcKA+hBTyN7bz6tENoTCts8k233rNALmNzbHnvWRK5FpufT/CFl/p
Niq9GPRBnUVfAZdULxCpPLkTVTKdetnP7JUN9CLdSezykE+OCHsPJvoO6XAf1WwA5VkOa4pUtgCz
MJfOKnx0VGhee7gxhKqh1GKjaex7r2A2DCxUxBYSTbNyu8H5HhLTZrlTN/ErAoCPxF6OmMssQ1hI
lhImeljE8VUqW29HaM5HOyvA4zmu2uhGFAjiZn+2cAB7PTJXktk95Zo9vHQvw3q2GkDcbXJPdS8x
qYTvkJGj3VCbAFz4beoFHeX0l8SecrJ6Iod1FrlYOtiEZg4hMif70YAXqlYsn4HBGEnB0SLGS41t
9EsRTcUzBplkb6auwf0g6s8dnk5cWDlhOeSDcB1Ddk7KMb4LaHmSu6pr+0OQhi3FnHacf5UBMcMV
vnFcgEnqwk5rGtvb4orWp9ywmrvRc6wzP2Fxtoktf0Q6VdA/lTqUTTvsWDdUx7aIxcbO9ZdmxtK+
BgLevccYNB9E22KONdPu+N9b8n8P/EJw619tyS9pRZ1ivTTg/gP4C9d3+ao/r8nhbyyhhe+6n+vn
vxYYhEt2Z7nosu/+kwjz5zU5/E2QwnN9h6365xX6P67JjuDeHQou3cIM3JA/+T9zTaZtZol8/SUS
ZnJ7x6PDLt5mVwWV+J+g6oLwa6loV2EjRBVayxuKgXXDAgtbh7ImZBxHwGibxUCVFcsY6gS8Romf
01SgZpYE91ZNP8vLNEeQNskjZPoLFRyO82qFYF03o7S+x4Edv5QT1DoUcvfL4DiK4PJith5DI9ql
deYujjXDv8SkeWEpelOIdTdL8sOiFZ/8bAJVMbmPRafEd4yx0XwyqZ8JGIptdR4yiNgvImejcpZ6
SXH3hTdy2Dv0uPzI9EwDmy2hbi2FLiFpa/IOXMbQ/DaCfeA68UX/hvlvZMnTUwh1yUVKMRvuKr9Z
ulXcpziC9r4W4CzZdBVR+mIlPBlwrVd63SE4e0eu/1TZ0R70hCedFAKq2t6esh9FGxIg8FP4mybB
QyqHbHuf2enzTGjjweOZkR34T8Rl9rOoXCIM6UFVgiwSuEKxVZbxTuiZgIDJOblgjY21Zi+0bUN7
uYzQALfRid+6W5oc5A1d0L0Mn/wKSvOsY4/ZsD4pHUavugz8JzyJ0XOnkOaPVEaKxVrfuMUJ8jmH
vc+V7+vA42jLHcVfA1XweQ1QINp+qu68sC5OsF54LfsSV5ztUaOLdD+PJ9WrOFgbcZNs/dTTN+A0
Duc4heXdIbfgmSsY7itbjeQFRl1t/GAmAOJELUDPOYoO2Hntr43Gk7HS0tDPYeEX1HnGMPMOjmEG
BU4Vyl1eYhKNvrnt6X6ZePgovJhyb6NPm/KYxC7xlTIjEmW9k6jullacAmSbS4yglA4M1Ma5ajca
IUXQxUpm2TqmA/fHJPpUJFgd50u5BYzahfrQQojx8Mx1vWL/VWhCQNxC7XFbaBpmO8B1VAf6z/nk
biBUHEEKXdyZVaGmWdRPCSS0mlICghDORNsj2IJdRYHHC0/Wx0lYjNj8NbtYk48oh/nNMke98/00
2kXD/GQWmTy2XZJstddm57Y0zGPj0vgJ5N2+o1aEwiZpwbExkmxV4rC+o6yH0EJQE20pZn00Wz6a
tlfYL+Fsf6tIJq1bHsO04ypj7ahs2NWVr9QdaeDsKNPxe4fMewe8KT61nt9vtC4BVYO2qY0QhkPT
7xyU/zw32k1aGtU6bg3YIZRdsl9Ikp8gdb/6EwvTMKob6DYmKW+Cr9BEnWDEwTHHZ6rUKhwfc7On
G+yJdjLoC7AbUclc7lDE5h747rNT5s5Gh5dDNUdLiP5nUzTzJkhgyfh82A7t0r0JKxa4plaHum2P
1ejCoy5ueZCetRXtw643gZzo5xQYSm3K8I6W6JsM02MFTXQTmFgwMl792EtYVDsvsm33wTxdMttg
4eH2rG0Q1bZDpHEsR87rUta3Glnmb6yy+Fk4lC/a1Qjyokj6p9SoLiy0rHXIAMVl3eUQTCm9xhXB
VDNN2PdDC1qc7TzSBlhtS7ybax9bG++thlUUvw9vb8sSIEESMid0xYf253TF/jq88zgu7/oO6/8U
iewKlTE7kN9LNnwqrEfC7I9DJslY8kPpurpOzMzvEPzEOu8j7rVBJo0Tw4VzS+3Wu6sb6LP8wmgj
nJrwzW+Tr6Yhh2Xx9CtRpXWIfdkTMUQJ9chDY1uKwruee+FWcqw/MvzT4aa98EhSgO1w97iUyOw4
Jmj8zQwI65KZ6wvnSr+xETSGVSNUdmU4G9atytUei7C7gwnaX93YTVDJpvDSTeZNd4baOFn5JmNi
96zf7+ephIbBwDRlGGfA794k21JeoSXkZ2a7TOSCb6923hMnvQIo5+nAZYg9Kf3mmXrGpsQmBVbz
05iPl4YuTYwgKnuBgvHixsgG3APepQ6/erF9tHt32cf0za4sCrip9rhDlT3WXrYn4ccCMWudK/iG
dg+F4qNyZ3frwmc6mMp+biI/5w1MZ/KG1tvh5LajeU0slkVhcy5k8urlNmXKBR0MtcOYK5utZ4Tf
QE+T26LyNF/O0sYIHgIp2Bhm0w2NjxtEM8TtmmM0+Jaz/fpaYI/GKe3zUTOgHdj+cPHnYTu0+Z2P
yrBzh9Y+sRIOVu3QpCBhwzpZ53MR7BEd9DGp1UE17GrTKN+rgrA51CMG3sHY8TAr1joK/VUwQudh
odo7H3TlKg7s2giuIEucx6RkOMfO1l4KOvrWM7272yZzk+8NNWFr6J/nKW15JozFi+VgZYhqWsdg
BosMcczu1NMwy2ub+uXHMFWHMJi/Zn4OkpSfx5vyOseR5aenYRa0v5IDcZIosNcxnGSYPA7BAzTk
ZtPrxDq5qRvvoBUDRO1j8YaQDhjRtIDLG50iuspymnRjKaqH2BjgiNVdgk+J5xqX9+ow125G5tcC
tdI3/dmOq2id2jYuIArKV6QdXhJjXB7PiKj1orQFqGCmb78aAInuzbgZpg18BId+xlln/Q1NLDiG
Mtd30yBenMlsvmMXMdBTKL7Pd64/CrkShTV2Kwds3sDuvrC3gwo/SmN4sBI/XSuQnTdWow+AyI11
mxuPyAT9fT6lX2QnMBBOHpQd7X1hW1s8T2l+ZxuW2lr8eBu7KtpvHK/OYcnQkE6C/IrvvjuyFSbQ
XAPn9gqP22TQUDSXO/ywcngLsXdtae01LvEw5q9EnkeoqzL45fVuvOkX7K+biOK9Dvz5yR/p4USA
esNjDOoiKP1X36eOwYg8c237SfZcxZVJEM+UhGuogRZiwp5O38m44xeWofyIfIdOwIEc8u3FnSy3
JResLv8+m4Z/C8Nq+CLksGXpnFwLk5a/eeCRzeXcwkaUdjSHau5rq8bsipPUuj5kPaERLav4YtnF
QeVRvjZcn/5ZbJi3oATfzXGb9I9GK4KD9r32i6HDQw3y6XmQZH+sMMWLH+o8PVdK/Wjz4IPTGXYP
TtRN30X9S4otwqtEuG/CDp0eNsI2ajweEFSObjDcDevEXXK4wKDsawVcbl3bbnvOLPpB2cbM59KB
u4Mnk5x30n4UcblICkVqPTT4F584IOW0Fb0AVIwDJ1nW4rHcsU3KeXhJo6KmJxSn2JvdXcEs+GqO
nZjXVHQEUKucWTyVibC+V4WLCkGqlfpMEgwrUBErwyoYGHpec3uB3RMnZDwuhzu/18Yq7c2lKvEe
2i+ggfVYUUNP8rHYlEwepKhS6lMpJLTKMTmRP/B3cOripxDlv7MuDFrrshpeiSGTTxl/1JHn7cm3
6E2pGso6SGUcI8SKlZ5csCuOuee3dudmC507HZpNUQNrxSH4bVAkeW29BCmaiE1UUdMSGrU8//L6
kDiQk/B/KOBwFo0kynYQirPhDhf/NurENUsy8ZLCEtoXWNmIlJb1Cah6uc798GnWhI2HlkhMMjh7
0/pOFpOBKYsoiiyjF+q32YgsQQnDERsvoQdYuh08HTQ+wCPsvtrioCved1T9yhV7TWtdg4tcp1hP
giWmAl0KB2/gYaNYQDw6T77Bgjx7DPg7M+AlLsPmZaqJsPsmGTw3LU8jPZ7QyoNyw1WFJlSFjL6K
fWo6aSE8Ygi44Zlw9lDwPoqqf6kbarsNTz8qHDqMy+68m0aY+F2j2J7QBivojrsY3QRtVwOpLMYO
1bcoy5dJEdy1l4XRNBvOKrPQXeD141F0DUD1WV2f81K/gPOadnC1QjZJUQqnyNpYk69BP/Iunwpv
hU8WuiAxyhffKs5t0jvXjo7TNT6hXwy/yFCJ3FqZJnJnsNGbnOF+SmSy00VfvrDYxznt9CQkHTJ0
DuoaQzcBstnIiksec7jMI2UmISrd1Qui76bsYtBDk7dPAKA9tjP8ZfzG1hqbKFMPKfh7QjLXirDZ
1SbmV9btSKFmx4YB0fJq436g6ojkicfuz1+0ZrbA45mKlh81943CMt7sQL/HjbfHdtpDKuQxbGfU
xFNhGwX5sNVAwIvklxGgEdPxYp4h4jeHNu8e2lScqinheEyg4sOSM3dNw/UWP7DAnzPsbQxXK5Fl
p8BCMA8y/Bd58OL6icAUrt8nv/+I+vh7Xee8f2rx2KuLTyF7PWCb5ToVf6NZHiS5UxwpraBEVvhn
HQZfA4CCXRjWe+o/AQ3HQXONIhDZRmVaZ8dpHrOR6cyQGVD3XrMVgp1lXvOoHhnPjIfea4eA9rNJ
L4FVDFZEnzkaTKNJdnMQyGPHO/jb3CU/RT7yHolGVg/CxpdBGY3CyuiWb0WdlfWWCHF55ZEFsWmq
RcGAV3f+xk666nFUtjoMBgx5M/NySEhGTLDa7sxkXeeqebNHik8njJ5ccpr2ZezJNQ8DVeVM1fkx
RDfdO2Hl7JpZ4z42e2/XUf4xdxpkRB3ehwH7uyo1rF9uKvuTTlLvrhFBd7CLOb/ra1A6mLi7Z6eC
Whh0NtQNM7vklcMFPzbvtY4RJ2Udn8WECZhYlXuxTA91mAzhXrBV2WQDt6XBd5YVCKVEHWujSJCs
HirhbOKJ7FPZQr5NKQbaoG1AGMG7DGw8WHtNJrY2ewdI+srDsjJ/D8qeXYjtv/txwSvGUHup+qI6
dNl8RPAkqzUOVzwwjBUy8XkWh99CkxRzG+BNyii4XxkNBDaHuXIz5vzxMhxxCHPJ8ibGPW79bNVg
JarJhiQwZbukNosjc+ORDTRJf/gYu8WGseU0x1CH43oLdY7eYNbrsxHcepZ3e67CKC5iyt4G8odM
0o6ZX3hU8xQauS1gXgpPlazYauWZs7Ejoos922hj4PpRW3Z78jE04rkq0oPMnaWCjpxerqR5An6m
ILCKX63G9RhSO7zcLWxNWJ3TfbsQIh6yjl8jrOAVZUYsq4uCaiO8V2AXUkVCKTBOdLg8pHZpgzkr
L7Hnv+K4k3vm63Y9LYR4OU27yjL38YjeQRUbdxk3mXd9TimUEbCKTlP1U9fNo1crAobgVzrwizoW
W1QG7lm2qEDqwRQZ8UfYUYFcI+TaTCZOZdeMDkldADbJG5ehZb4b+aSue3it+CcVZ6RrdRsGwO+D
n8Exc4+B0z5MqgblgGt8wxUSG6J6baKh2jn9tOWqxTvZYp3BmosMv5WaV231NqHjERlF89B1lKCu
1wKWCtQROL8eaORpW2rfuejo6kvrwH2AlzoCDS6sZ87Om02VDz/RoLa5N3LzClhMdlwHFV25msgo
uwsuqVE63iWstvBCV98hnYePWWzwiwzcfTtSi+Kxmn8JLOeB6B97kMayCVKYOyVdf+V0XeatGZSN
jUclAz5vP3suo+RnYLVXqe1THnjvwrJ3TfGuLCrXVfALUEbDNTedgQ1rrJYla+KsWltAKDa6HX41
ChpAYeTfkhbJvnVwJJDAX+eYLxBVArQSPNcQeSq0gITNKYDz6FtWZw9dwgG9ln3nTesGH9F92Q/2
ncFM36ymGLsBUWdJrHXG9dfzJG9oIMS73lByL6cKsyYLnbHF7UN5QWe6rIVY+vVTXvQ7VJz4jkcW
UWxt+S1P6Lntz0atuz2+iiLE1+B0x7Roo4eAUw38m7Q6t2Q0bpOAJZr21LPheCW8wkDCGexgAnaE
5hOkNo87AsiYljrYXeaEVkv7N6+Ri42gi3vaijFaB853mU9+rs6RBdiOUMJ/iV5PWd31nVqS/7nE
5T4YLjjnEvW//v6P8vd/jn/Wm3f1/rd/2H5q6I/9z26+/ZR9wZfyB/3xX/67//Lf9qvRdPcv8mrH
6kf6Xv1Nh8eutnzNnzq885sfujz6HbhXzqKa/+lWC4LfkGHwQqDSf9rO/kLRsn7zqRYmjea7qN7c
pv5DhieohtRI/y/ulN9Nbv8ZGZ5g499VeEpUhcV3QRUf+8PAtpdE6F/caj2+qVQnk3GMhJ42oi2K
dzeLKGPpU9NucPfDTVjNcta82w3srXlsW2cv6cqL9iKefJZV5VvK34cfPiipe03PFI+ZbCZfHubc
WfmqcjPVEdukSlffSjcStGpb9n2Xjt5S/tmJC4yrQK/zrATDIMPCo/0rePJp3b51MOHuzeG9rDu2
V1i8XtVgdm91joyw1gNOcaxBzfQOv6qceG4as8bnElNoN4VkgFdCgZknItLm3xkccaKJruQBO9sd
Dab2DKAbuA67uCLsL0tBn2DLF2n4CJ0dONuC6yjmLmikoF6DTOzbMOGkmJIoOYvMH4Itq+OUHroK
kDnYo7z+aGTTvNWYeK+9nFkHiEKe4lCOHzA5qjdHpbAmsRXMJwAR7ePcZPG7ndg8RjI6Tkt6c1gV
N2uPHTYNDsGIbjzVDyRhaor3ggm9Yy5HH4Elza+BKKdHp0CibGa1mWV99P2RbuYWwxY03G7FkbAf
7dR/sFoJZzQT5cckueaKqQwePNeCH6Ay9QT3Wm6oGZBbZ5zFIdKNBZXQgK3hqtjfZLPuTzxA0uio
pdXeDZr7zcqM3TAmtN/654COUciMxly8irLpn3pnsSL3Fnp0nw/W19TPo6/KAGTRjC6nJOj186h5
tqoKi11NHdN6nCJ91rHVfykWPuzaDcuO7tSuPYGEGH6F3P8yOA7KyDeygAUyOFWxJWtVZZtqDHnO
WmAULhjLCGeFHhzM9rOeRE40NMVpSQTbxif/LSPbUSzN9W2zBADihypAjD+wtEpvSZOLL3Zcpo+h
dvnbhOl3T3Aas13fJs7JsjH3U/FXJweupjE2Tnp7bDW0h3G2hlsMYHPtldn0ZlRxdyfMMvwJOokw
pmcCzFlZYgzS7di24Q0LpsYlruLa+JrFwntATcS7NAT0T67IauUfTlOLEPsgRVSxqctN6IJcaUur
eub3mL/gmkoe/CmTF2nNyZ3f2UO4teoRllhUORvDm+MSaGdWPweiZXzsVA0KmIfw2apj59IOTl9v
iU411wx3dypxuPAp/zpVVuYwlcQhVvlVPhHppz+M+wf/U1dWrNRqCoc584AXhZNZnCvTnFgI2JQ0
siMbQYJFgzajG0qdmO8SN2G/NHoPVpBhHnF8vUazwArqdOHTVPDp2cqpL96iCMiKVUT4GPwexh3q
pF3DjZLuU9+7PRfz1FIoVnNL8RTzDBr3dFYA5PZOCyBX1nLZn8xk9aMh3wYC8lTH5+UWyQkfagqW
72X6NI5hGTSzBz+lQi3cOA22uidHy7HEbOZ7lYvY2hqHse9eHcwsj0YeUOIwLV41gWltgF99qRcf
G1lb6MqLt40AyPyIX9A+9ovzDUZxDCpLFo8IJ4DA/nDI0SsqQsJUDb9IgbxHbW4KjyC5lhmfj8Vr
Z2K6G7I7gA/8ScJo9/3iywsx6HmLU8/Fspdl2Elb7uZWwKwlPn19i8MvQVI5Rovrz1r8f/7iBEyx
BIaLNxBOMAGSxS+ISBdBleG0njETVourMFr8hTkN8HJgS8drGCnzlH1aEa0wN3emTF6mT58ihkVE
OZyLWBhp5Sq2OG9vJEqIkWBzxIB1741Z9qAwQAJqAPMxn/zFGVma9dOQkl8tJ1+RB2DHZo7cSREQ
8VUC6QoOfkK9ENwngOi/OzDxYhKSkHedkCcUFFTXMODGu1g3gbyDw3JsH+MWebI7ugCclB+v0W/A
MOQlnEYyLHRqUIrhnLzFIGrGnc0NdDGNTm29J0Rq7B08J2sFLOI6f/pMZU19QIBH5LGd5/AGMgJw
BUip4jFfbKpe2P3w68S8g1NsnXQZkmeQYCC4BUzWcsy2+F0D3n7PPiU8G9dyayQXjLF6scjGXjxf
YZuDMBus7kXncY9qCPXJDtNHtwMVTlEcsC78p3gaufaABiufhiKKHt3FoussZl2XfgZG5eEU4gLa
5Iult5ii92Qx+dqL3ddejL/pYgH2FjNwv9iClfDu5GIUnnreOplhfnEXE7G72ImTbFoy3nyndu5/
jJh8aG4O/bXup3knZh3ukOGKX2xZq6set3KxLY/KwcHcLWZmzhjjnKkUh3NLcPjmFkmxaRcDtFis
0O5iig4nmXw4n07psJZy7ef9jTdhcQ25Qj5k7gL0WEzWLBu4Oljmg0+RHSJn1h3LxZRdBCLcGP1i
1B6tb+7Q4VSxjPypXOzcJIjtLwqkDBuTxe3Ncbg4vweTFJnjV7v50xkO63dP3IW95IBt3JXjTONi
Oh09xSNyyrV3NEgnW7/DhP+b6/D/yHUsBNZ/met4qnuV/I/Ne/5PppU/vvCPYTn0fnOYSD2XzhX0
4L9mOyzT+Q2xJGBBRa7C9hYyx5+mFfe30BEgHwQj8e8j9h/RDlIfDiEEz2dYtjwILt5/Zli2xT9F
O8yQP4JabYs3RmibrvVP0Y6QZJiKotY4OY41PAauU+J+6NxjWeicIx5joMm8fBOFB/avJulmYdqm
PIEMfsyOH+uFV56EtMu11SpMtqmJVhVl3Fur2srWPIeSba7iW9yIg5Mji0UOCUvHqV7HPn8YbXTt
fFwcD8Ay0Q3xYEfYQgkrcoRKh0qdVesU9pOq2GKyguUzLWKieuMgn9ksALLxlbOBoFX84Fhc0T/8
wo33l2hUiz2xf5xDMLdZ7S1Xdq7xqIx9eUupLmWLG7Sn2U8GhgAgrfuB7TSr6AocwOjxbIincptR
dXfndOSFlewFaJ1ae5uYl/PaeYY9IfShjAzT1OCFnFqRIPpW80Gbnbk1G/ZEjdu6Z7MLDkVh3xoT
q4JQoXUpc+tEbSYjzURGOg6Uvc2TfF61LbROZTYl0yIwzqDC39bG+Qh6rV3HueB6Tmb8RMgl3/mu
4d8Bc/LWUc2is8d/vZtsTKaHqQKDAzVwirc4eZ9asAGbcU5egVLbL2PpesfJgYFQWSwZEgnH0pxF
HV2bbrZN7gdJ2oVrBAbLPA0VN6inqhN53gPurAPjIy8miyRtXfSG3vWezLoVQXtJtzfNlMhvOG7V
SpENurWiCq44Zc3F2ohchoo0tOO+RCA92L477TnLqR9KOeDup7JSN8NX6ANzapCBYycgxYBtJXXP
xADZelncD7ZGrtHgFa3XBeO4k1+JtIjG2BgYBGK9r5tOd92lzooUtyH6VwDnmcaMQfrhumFnqiui
ApXyuG7ZkXvrNBNKzoRap0aWQyCtoUI9RiovafPgohTfC1+zxdyFUUL6d49xo1O3EKFq9l4QW6X5
ZAyzF8RbI8wKHIsM2/1E9wTroinlG/Bq15wuY1pxA9i1PH1whMFD+VIHzfRIklHjcc2q1l6ArhnJ
PiOeAIK4YbQ2einDLeFN4zXJ3TTf2NqnuVSR5KM2xDTBN4btD1fHLVSA1o5uxE6MZs1lnYsAoMfk
NXKrvLwa2cz2BdYuYu4wegMxT39EkGuTmisG/U93c2YlB/AQBkR8X8RrfKjzUxclwKYF+5EveUri
aOW2nvjGrYFBMS7j+xbL1r3XpsFWDfBLvcSieYBvwLxoU7rbkmDvdqroRErnqnnwgIO9hlxLewRN
CxWcziFJoQ2bTBypGR3ygRcdgwaj9MqV0DRIi+IFstjQwjS2Kp9fuUaSylyhmKxhj2wTU6pbP/jV
Qxs08d6nFyyxBvc+zIb4OSqa6YTdhRL7lg7Nt/8SSeiSfnS1rH+pv4tAn8LOPxSi/6+EozDg6fB/
Bx0d6/GfVKPPL/jzQWj+Zrm+j5T0N8mI56Pn2LDObKAI//QQFEvA0aISFGvnohj9QzJyzN+gESFC
4fgMHH95dP6pmP3BBENs+11B+z8wwhwR/l0yMkOS9A48JhLp+DeFgDH/V8loLpUa4DUEd2ZbTicD
fwn7Azu/UeiS/2Bdq4+0cxItgPBHzCD/TBx8Zg8+YwiRL40HPGE8rHCkDw+YPKPXXDPvntolx5Ao
EN7H+jNowBkgMCh8ph6siMwT1s/X2VXjIyQTbA7dXBZsk2mo+DGgdZ6Htg9ek6nmoNWfAQv1Gbao
ltwFTqJjsiQxhiWTkX3GM7zPqEa1pDaYSoqfsEmOcUGiIwun4YtKW+dGFoXARz800S+1pEDwQFzQ
cklwkY/K3vSSFnGiePgyxTj37Fmy1ROioV4pdqkr7Cb/ofE4gzfTLCSjbzxdMLXAEgjpR//ll4bx
WFcZ0Xp/KOPrYNjR0fuMs8QERXCA1cI520mWZ+y8tEWUYoRTqpu4ojwvklt6t5M3axYUjougDPZy
iaQyEHjF02wlyT1XaKInlLAd0rGI93QdB3cuMbu9WU8NJSNl6bHYj3W611VS+Kt5xqK+bF56ok85
1/5N5dThj5nGoobAJ/yaNZYjsnMhVSB2lLd3fZRn20xaHpajuqbWuJ3CU6e54y2h12rFTjqAFlCH
3IQHv78Nfkn6ek5ohDNMiSwXBWodpmVRrx3tNU9tMao7yw+IuGC2fKzDgtIiA8rMvQWz01wFsSYO
7s01NbyuP3wtevrrvN5RAbnQGlpfomcccFHsh+gwXqQ2cTlm20JW3T18Yzz7+Iao6PYaYLTjBO/c
ZN92p7KSkcRLpvghUM0vyZ/S47bSLb6TQNS/xhjkxUqMumDCcLT64EnvGYcIxirlV1N2HETVbnU4
Z+LYVB49WeBQHryxI7VAUGKHo6HDBymogrHqECVySq3xXlPElb22Zh5Nw6M2AlqoCLuSXdz71pDe
RkauBzjqs1X84Ldr09+SlF3Kazs5FTDTs6k7yiGvpueX0TVe5pNymVQsRw3QMEcPQYI5Jg74O2jP
ZmLTT84y64yfY4+y6Gc7RBXeJGOZiwhreushtH0IKUxNssxLPt5MUkvNZrPMVv4yZdE7Um/lMnm1
yop2mKXnFfOITe02E1oXi5L6KetkL9NbvcxxE4YD0wkPxWi6Z73MevMy9U3L/Edelte9/xwLh2VC
rNisEsWqWvNqENP1NnKZJsmfAfddJkybdshtSioZx1E4nvtlEh2XmbR1SeSR9dftyZNtf2cv0+ts
VQyy6TLTUpDF3BTKR53wwcwZfDUDsMUg7BVB/iPoameTeV6yqtNMPhu9XVyLcWL/vEzT6eRaT93n
iB0s03a4zN1UCzKBL7N4tkzl5NSgtjKoQ/d9xYdarGO9MDNqccgY6uluTLblMuezGSQt8zn8I8gG
h057MKmXuwGRvPHZFGzXzOXm4C93CPvzNmFn9s1bbhgcTzlwA24d/nL/8KjamFaxI/uLi3CzbaeM
oRxA6ReBFf6rX+I+S3JErqlJEAt75T+zdOhPzejhOwxjyZnCvZ0wWupGxgcwHJy0SR7rezPn00tX
ffbAkrD4iY8iONTacQ49A9x5tIxw2sYynnaRrfu1qsxyPUo3XkN4ba8szdK935VLOsV+Nz1EPkjd
w26KAPZQ6qewRg8mRE9elMcRRXkbaRK3sKQLXm2bm0e3RpUIP9J05iESiIH4YzqpaZ2gk55TAp73
mQzglZouRfJVrlHmGMnNoKmohfP7XSeD8iuDafCQqJhAWMyv/2tG9Ybt9pC486m6t4Y+JYkXm8/U
KhS/5OyoN9+KnSeflppHrKAxHT2tuSsaojv4J4JjZjoY/Aqk/q0b2AWHbpJix3UEFQGJFO9C8pYW
oh3PRAzx6FqNpGnZte6ldGH0KQR+WY7zU2yVXkDBg5VeGdCRqlAvz3QGRgczcWk7zWS+oRqAI7OI
79nVZYc0MlJqClji0fke+MQfRYzXUbE7iFSi78wCp0XJDgVyZRG9JACYE3BJrvyGHsLcro0hPdtD
Lg/S/t/sncl240a2tV+l1p3DC0AAAcTgTtiTEtWlpEzlBEuSM9H3PZ7+/4K267flcvp6XpNariqL
IMFgIM45e38b4dNqsaa3vOtTSsRqeRSDwM8VJAhDATR0UMXq9qkOR/t6wTN0jacLbl4mzYT1VkcP
ruxRlIWDvVvKpNrMY42FmYj56HNVV+2dWOR0F7UlUyQ2pvrAE316jUg4fRQRUKlVL60JH7EA4IvM
Y52wKk9u09132DkSGtbCghRj1lJ3e2Z6eqn5ZTaw6R4INGjizw7NsYIuXil7nkSpCWh7KSPQzQXw
9m1vAcDCNEJFWpnT8jMUQCh16UxfuInZgiNB7b5qGsBXISSe/Wjmj+M01fuY0nrLIuVwDcYcbF2R
3Qs9WnEL9NChUW1qCWHkv+fj/4vFyeKISnflr8/HVxib+vd0/r3D6dc/+m2ySp6Qp1DRKH2k1ZjP
XzEgvvrJ5ejs8KBCRUPP9f+3ioT6yXLAGpumKSREa5Oz7a+9IkHviYkq5A56Wf+4V2RpGu3v3E2O
D6hW2tooJRTjTPuju0mKqPGXIDxBAkMBL7Be3I9WuOwEpMd9jNgSitUbCnbGYrUDoZlEd/UA07E7
QHgY9qK26j2jAdP8ZcX95fndtT+c33lr3BKiQkxb2o5lfhz5Ti1q8tT25dEb4IDfKh4bt/4iGeCQ
EuSmK6svP9FpMJxtDMqqCxlGGRWZmjmP9+Bnvyis+9Zy/brZVrOXe5+Xyghv5qgG5uVErfWSR5hl
G6gl1bLj0WH4m8xNCBdgpoNsgQSAzvAPYxosG8RABboYKxsdfLklOKjmKZqHkB+6kSd4wN2shjDQ
ZvOGfYNZAlNJdfKb3tLT22Q7Neqxxgra9AQv+OJusWT/pEoIfmNTk3esMpI1Vv2Y1G85MLEHJxAI
QgcHEdE6Rs4E5QqsuLUbAqRVJ2IxshTAKdmCNEyEcw9sasOmAJWwCZ6nIDT2Tbw0JyRa1r7vRfse
E5x5q3LILTJpr0BJn6pStuRBxxP454mo8Lbv4NNHw2kyBgPK2sIIN2MEeFM7Yr4uwoiwSDoQTBat
8sFw1IspklZjtsoSn1iGoAnKt4ccyB3JDwWjih0X+5UXze12jIfpOvSWT2YfZrcNlEr4gIoGQDsS
2b1Dlu68IX3GHVNFRPPScF0YSJuxfDD9tHoYiHdAeesTWzwstPY4Y1npmYdwS1tQ45Ymy4hRtdVb
jmU2SmWgTDMzv1URYQadNLIJDVixqy4cJ6uRKGw4cG8XjXmaRFBtkfog9VuAQKFSL4+cmkcan6G8
567X8CrTZgfm0jyFllAnGrj+iUYafKlAo6aqDuhUqfFT9ahJVGlvUBxoPJXQoCoxgKwKPeBVGJDr
LaNzkmA02iqbh2ZrX3hX3HdnB+JwwkutgVipRmMJG9IfbRNKRA3OMjVCC9g0Noqx7be4whWTxSjb
EsdRwKzHiLJoEBdeFYTxFzhXE8Ppyi7MrpEH6rxeMOh/cXmRtTFlxirwFXwuNVqvdohRKb8QwOow
ONfwIDb+NDUHp9KosE5Tw9oLQCxgFna0B5k0m3IUM/rzDtzEfihtBuWe22IFs+vcs2l2IuFdwRKd
aS6Bk4UOExiP7tQy7XSMrDsqhuBXqnLBY0zcx+MAFx67JBrt65AT3RXaUu6eoxHBzqArtwH98my7
yarwA+cdT/QIjR+J7+MyVsW1ghjH7Vvq9OwiDNmJkoab7cf61xX5dJLCzAmGPSdEQd5Np8Z7r8Cl
jISulMe0a55UNC5v3rBM22BsnSNwYVgXkhSWTWWRn8NOOL4MEaXlqvIlmVN5iBp6k8ZNiqmZ6JIZ
FVTjfS0CjyROF8AGoHmiJAbIivA9JouzCQpo38MMPaDJvp7hitkrNQ/DsQzpKSK3zqjMEwo1sD9g
fldDHNq36AhgDTYD9D4q32GinG+zW4cfBpoJHxMBR57S4BRpYf2iVSpvJNvBVY7YkbBfXJnPAW32
h7jHo4qE2cakr0fsmFiYtnt68B7rEbwHAjHbWH3sbEw9opeXaX2jB/eAFJvzaEcRAsSRZG094Pf1
qD+ce1gr1cgZ86IEcNs0fU/CDn1AfNEKUErKOzxtmfEF7hNqgkkLC+yLxsC76A3CqpHNztEyhGYR
9WnOrfGFHB3EJ1quYGnhAgf9zWJIAwC0ljWYF4VDp8UOkRqSnTcOzSdXlGghAktG90xG7M/lkMcP
Hk4p69DCu7xzUAZDnJo7DD04M9qvMCZxQzpANdx9o0UYgZZjRLWqcURa03DuEMKgDbJGlwEAhEAa
v5wbb41JizvcASAKEoRu+M7+jlbCiMZd7RHYgoGJS9AgX64BlogdZOTk2KT2tGVUAcVGy0vw9wRf
gHJY/AeLjn2eH3nKiJVJAz3bFd4QY60uapVEC1esi4bFm22tZ2mRtjBD5vQ3cEq/6nwpL1/bwfCj
q9xsDIpUEq/twfK2bSTfE8E0dvRJAE7rSTwjUqiOSeV5d0pEFlfN3+1aq26Um4rbyaiuk4Ctf3Gz
63D2A4Q4JYJknMLSNaY15YCBRRAvUUXW+s3skvLnlEbFHyyTfVvwQ4enovVA8LzwwNi9jfVrRhTA
HGIV+6bxNdF6osYW05XjMgRat1WE3shVw/ugNUgpnu9NA4Bkr88lbwgjy3dWqSvWoBCQMDkXOdOs
lU0toVWkDPuiuRK+Vke5IkIGhc/Ec7aIkkFloZpQGtRtxPhuUFI8y6Trim2tdVZwt5BczRf5Veho
KRaGQGRZ3UWi5Ufe+Fq0vtZPXERcvdZzkZWYPjPt4+sihMdJhlvDdNKH2ZSf0ikADXiRhgmnQUVS
tBEZvBfxGGM6jCUIsBEyReXXWavMOq03Q4DF9xVcZGiGSIqvAg4Qr4lKzdZ6NdpCiCE8rWLz69a6
btnO+BVplVt4Ebxx7kL8lvnkfqzgDaavtGNfWsOSsA8tbWNJVHVKkOwwpBp9nA8C8ViE+zsYi62B
h/dhjECclRp2Bqg+RvGiCWga5hGuGg1GY2TxEKqRhzVxDGey4iJUcvzErmP6v+6GCTpz85G8YZiv
uYO8hYSvTaBhbAhLapC0WFIJtzDUidn5qA+YLkmI4KUUNStDL9TfQN78C+9NafRbd6HAEW2LaHky
Fo+RX5IM17W1AMgYL/y45sKS43jSfLYvhLlBaNoc4AtwThcGnckaCLYYsuVpSBqeBLAiivpAup4z
baYxiIhagcYDvykT/qdpAnVXXqh3oMzlld+kbLSR0jFIpcySM/nM6UQ4uJejRfKn58ZW9QNaKe9r
HcAXLiXipVVKst27YwWaHOLVxb5uG9q5RpibQit3eWTUXtTv47yy7myUpvnJr8hPC3uPKMTCdOJ1
Zob4mP0kM5mzDgZDrl6am4m5juiupD/btC3/W9b9X8o6ZemZ+V9XdegIuyZ+7/5Vfv/Xmrln/vbH
lIdf/v7XAs8DzGiiTPWxhiArp9L7d4lH/gOSPh+JrEA0ZV3oFr+qAYRPzKyjdClnXcYdVH+/lXj+
T/ChUAqQ9OB6ti3/0SDkzynLpumaDvNhGyACKt4PJR6tRehL82Qe0gmPUPg9C41bYBTHxPeRJRYH
iGCn1uTnEvRfrNSg+dv+Ijf5y1pOaXXu76tMxVugkMWSzmemrv2g3i1dzRTHiHMom9m8CZwvMxbg
FiEcSLMwZQszeZhtFOMCUg0IaanCZO/ZTgHg5sUB4bOQ0kP1dja1U6/0saWQIORZN3UkYf25w8pC
Tm9g0VuZ1TtAAf4lnoO4/xDWJy3BNfzj7KBUiuendin5Ebar1tjOroKtwFkCso28rs2hmFeL2QEX
M5pWiI2JRHUWxfPsM0hmTRwm3Q1ja3RsLIjIj9DDLvdOB7UK/yEPOEMfPkns60S7bdNrx+jvs6jo
OeFqBrHq7qV6sYSxBRz+urS8gxzJLhJqoME4X2patTAN+jJDf4DKqmdWZQSPST022xRv6NBVX3sE
H3s2x7uw9a4Sq3hbEGt1CeYIOWZ7uWjDStdlK+w67/mE0zBNYGDN5vheaPaQ7NtrQjAAKpvVupIt
F1t2MY/+ME/C/24uNHvibv4bkRGaG1/8aHe5Lvu4/ZMc/5e/+q1pxBZAX4ZfC5ybS9/o33uKQmDk
eCQgeT4/KL3f/FthJMRPtElsNiOf0SuAE0a7v+4pNi+o6GUxjoV0Rt1l/ZPhqvjQNsIHDoaODqTr
0Yby2Fn+OFuN52bswVM0R5enIoaxxLAezKhezv4QV7uyTnwS9SrPfGsNL3gE808+H0Bz/Ckx2FaK
C6aunnVdmrLYp84y6AMrDmmfZsCjX2Fc8aIKOmZpdmptoQS8hdXff0saRP1TFGbPjk1rvsqJmeBB
GjC+IUhiU9jesGlqBkFWaDbjvsuN5cAhR37qi376mwQmnYzzuy2NO+DAznFcbgP3VOjm3e+nywmV
IF2wqjpSx053zDjVnoIIuUjX6c/F+/7dErn75ZX/BRnmroSg2P7v//AQ+dP1lDCFw0MECJbGE//+
ejjbzSlM0+o4Go3QDp83PbVZxwH34MdX+mC10J/MEzaPLQK+6VuKD59soe29UDpkjMdpLKHlgGg3
u8aebOz4EwmDzn6OkuDhxxf9Dx/Pg5dMM5LF5PO4+OPHS0wbjTOl7bGXHLZWhpaUtoz1CZCZXEKm
//nVSKiQYJYJYIKp/MerhcpHvwML5whXxk3PRXOJM2Dcfdtn6vHH17oAoj6sFOXxa8WEYSoHrcQf
LzaRzBmRgh4f62jKGBFGNAo3dZ1rc6bF+JoI9NueXuH12KbDAchxV5FXAjDlx+/jz3cY1jMAILjG
Opzb+/C1ZlbrzXlPOVrjXOQU387tRoZB8KhkhWT7xxf78xpykR9SB5AYgsbjY1u5oQsnOqAbcBGX
5b4kdAIfHr9g6H6EbMxtzLjPK1Tq/811/9OH9KSFykhK+u3mh30pDZMRglaVwL2B9rEa+DZH0Y/j
qogJwf3xZ/xwLUe5vL7STXq+XnSfH67lkDSAbAlyTkyzEDk14PsVJIb5KpxH8fTja+nX+t0aulzL
JTIe2alnOu7HnC4CH2iAUBgel3kZSUuhFDmRGDT8Kgz+65Paf7qOkEhz2GRYrvYf12ovs7aRQPdJ
E3aHhFKJZgXKroLp3SDcT1EcEz0xIaojMILudLCljROdf/xZP6wd/VnRHLDRgUC3pflx7dD5SePa
7XgPICnovsFv0d7t8BwAwDqVoU+vTIr5b/bzyy38cItttiACEQGz26b2sv1+gx1CSekYeGQ9wgr+
jNMzP0nhzDdVUkT7RlQFLAGjhNI0zlPorYOxn4fjKIvpZyQ5dfNeoZ45pQFYuNA0yHWGOnoKlsS4
//Hd+U/v0+WLUQyVqB9M+eE4nxJfNC7kFR1M4cm3ee6dZj3UGT0csOqjPAA0pROPcdaDDl6O6dkc
bNIiRREExz4tnSsgmMER15a4UYZsvZ0cojKBWalIQPvxe/3zqvVN7qYJA58Tifz4Vk2FwRZIa0zK
tjmToRD6U0pjpO22P77On3+JPmF4enPD7cMP5MMOGxs2N8VoY8Rs5XKv4sWIVwXZaprb5n768bU+
bucsTx+/I8MpHygq0OoP93/2W7d1poTtvGzSTegHRK9kVb/GK5SiMajCdTWN85XVT94LjupwT7+k
+5sba5mu/iX+cbmiIzdBZbgcCng7Hz5z1lTwERCJHrx+bOajl9lspp2aRAVrrVruDSHNNzcKSFYl
+BdDXhVxwo/jtAGsQl7IVRsOwUn1/XzHaN/uoXYkVQN4o4OPbEPDOGdRi2iN8NSHJRPB9wFTzbM/
Z8sZzdqEMKxupFYgQN3JffdqaEw2XFQD9oPbp/ITCBHz0GEEuo7AmPYbs4qNR3Sqyz2BHIK8M7rZ
tznu4dcsmM23xeAY1xogD1ZqKoLvuW+41anIa3QYBaq2A6Y+hxgwWihwPrxGnxFKeMkrlLaQriAU
v3O4Ek8jorYaIhiUwnULXPp7BlNlhMOCS4hQ1yQ642XLT47L1mI1Q/zWR2zeZRu63xlbgVYqco6N
9HpMH9lsTJASsdfS2Y+OyWGo8Mhg8j3yYYuk9l58KjP/AakM641ff5ju0lJxeQxYBpR4wk5o2Pbe
y4LjaDMRjHT29N+2dNGwcboC5kI84oD34sx4VKWYzzxnsue6nsfby+0N5Nht7SIy7ytRRymp2V4W
HQMrlOJkgwaHGqIIWSE7O2GMddmtYJRfNd3CDkW8nfEVhhUrkkAjywSFYC0HMuK4dzO5z+26Mc3o
ETye87kn1clA6mwWdxomrLUpvM4YxdFZdpi02tqL3xqT+D+irkhjJDtVZWh+XR4KuAPFk18MuJgM
m3ubCzt+Q1Fs7yy0Sq/0sA1k/y5JN+Dc8+UeZtCELCJtpjtzqKfbeHaGaOM5Vvw1kx1bEw6cZwvU
SrYVeh3mOuoB5gWxaHPkd/FmmSwOMCAjll0xZKwlL+8WyJgzQIKA0gtJdTss97lrMJXW6O9NH7VI
axI+ACMmEIuwoVlgW9xj1Ws06r7E5LN6XUCSd8ikp/LQR1QMmI+MR4luTBtJSeoKjSw5EQe3VUjW
cd05021pZDUUHUaJ4biUW/Tg7no2yuY+7KL4aPpNccVk1lkjHIw30m7NsyWK5dTXZB8h7A4ew87b
AhbDCyqL9DxztTXIXez8i7dPY6iCNa4CgLqJeEGAPq4qJ0cUOaM1JJdzYxrTwkQDNJwli2anJkxV
cGXInOau2s/QhYikKeZTYqldFCHqQ5ZZnhADMMo1cC2m+ahWdc7HIsetWZMJnsGY6nrskrDUOtd5
aRhon/Gb3jYTUPdhENNmmOEl8sARO7eOn2QgwWu3lU3SXLYmI8pdVx3KcbCp5hqAgFY6mpLmDhrx
WEUPbTS/AT9+rXqj3SZGLjazRPtm09A+wrL8UmtH12oQVbaeJ5+nWl/ZX3PhnBbhax5ifBPJGIeZ
Ix+HIbgC1Bh+6SpgyJEzT6coy9mAHX1Gyu35RsZCnDEO1vdWnLUnY3BT4I3yOvXqGUKlkxM7oFK9
iYTtN/SN1WG2SkD1RTAQ8zSHIjlZpVNaq8AIvevezXhDZUYSJ8Mke3lyF0fAIMoCYp4GW12hVKxv
OSg5UAilnsp7ZvYEJzJ8Yh4yfgIdwfmhbCs/hMewzOfUW4TGTRMcmHb+z0keN0c4Q9ORSVTORTlF
n5vQfPDdcXzwxnneiqXvt/r54yJXrKCExlWd37UdEwePXxrgDqbz9spOIXSA+DiEKVysIi1ku5am
F7MVFZBwnIAnghcq71AllD496w/mxlzsFEi7fT8OzIuays5vW7N79rKl3lhM8TWzk9iJEL95sukk
MOgdggnUgFWb7ookde/MfmqJE+zDz10SjleinzZdHIynZOyxgYDkUF9FMhHT7sKbJfCQffJYqCY6
IUXDdGuP8NWXIWdhJpwdKBEy4z6bG2+bzw2p46jizBzJaO8U/vfOmRB0kh1oP9q5632exkUte9PV
EL5+RFlb9pzHiqk+VMuibiajlkSFMAYXZVmtja72DlTQ6qAmywapZfXNt8r2/W01Ekpad+Ls5Y55
VkFD2oVDEBlDqoIjTOFhfM3UfRbUAbMbEQiK/yRyaFM01qMRG3Qf4IGd+FIxELuIsnkIIw0ma9B5
n3BS3HuYzI8TyXJwjwBu0VRm+phc2F6hux+JcdlJ1GA4bGLnKcUwfxd2rcCRayXHIKntM3cw3ggQ
4/UQWPvBdVnYqjiTQmyug1zZd2GduQdGh+JaA+1WTbW4nwK3tja5P5b7zFyqXba0/muvcehsNPV6
aFEQrH3MMhCTAtffR0NhY68fmTuHbQCKnODCm970y1tzCTj2K1EChmyNpNjOKbBJOqFDts+I5Htx
U0kTp6zDKySFfkn+OxCn2VDzt45ynMzCsb/vHAM4saiA6+ESK3img31s9NjDvaFir/ZpTgpJMFjl
KbPmjl9XV53HJM/uKul2tz68m4Oo2whSl/IhHy/NcfQLY4WKCeAmqRLnpC/8vRMO+VtaMJrdppWq
PzuI3XdSJul35ebEGVUeeg+ct/SSkqx59trqa85Lb5u6ZDap3MVmQhkswyvOrwTjuNEaxxDiUcrD
1ezWdVSQwI7x7MoKiLYzyZ7lG4+3aW6/j4aqNjFJ7wjMFe3gIgznM9qA8s2ziuG0TAmjVMUzkOnO
sp9dJMVM9bs7yxzat6RJ2bPrjKcGm0CThuQPOl6duk+d2Rde+479gphJ0wHB9T0yMJ13cZvRxna6
gjKpM77XMirOE8DCm3h0+ydyWoY3p4n9l7BXUP013QAiv7n4TNVc7AlevqYjUhwM6cwnxBxkKOVy
+Dx3SD/NNK9Rl2v0YFJrWcSYWmtOUaipyJzbdFlNV8OuAxT8IPl4V910cIrEPDtjnKGxHnlmMCef
83XW95IMpLSM4Ikl9XSwAq2ib+AxENZsA+aMYV598kVCOCb+ZEwBauIxYtEdYl0y8luDLjYesS+Z
O4WJcwv4ytoLs+pO1RL37xW1kR69ZpvCyLkLjR9/DWy9lOkomefIq4i59JDWHGCOB8+za4tXw66M
7za6suvAxyHtFnB6rJKXnZxJETgdDyswqM3XoHJijpMmTro2fuJgHGw7UI+okOsHKZ5DBCGgL9le
ASOxqPJn0wX/CEzywRumlKRcWNim54MKhhvZFEhR0Wnnq4nDycbzIBJaBWRlnxobhahTrtUUv6WZ
HcFSpE4GtNCVPCrDA3YDG5ve+I1AE7WnlgdezERyl+K6Wae5PNlt7q6teLBWudvvfKIt1qiAjY0X
sJzNZLKuZhc60WJh0OCFo7L39/Zcp6s8n+EtdvH0qZZ2tLZ7PzwnxfAdDxgZiwt4KAme+xTT2N22
dLNOcTNnB2XSHrCnAbNC1fT7KurMt7RDr02Nz1OHgxD45dIBmRLXu3zssAN0U3KdWtM+lYxsBAeu
NUU1+Mhxuh3RPMKvm+TBbepobebw2loQp1nvI7jmKHg3Wa3JmB5Mud+137rGALgKnGhvyVizSdTX
ZjZIMJ0rCY6b3sHCVBWsBplkxmssnV0ZRDPnFHUDveGUG/XLmC+3fRoQEi6fqiYgmxRaXIG++Eo2
y/ekDp8tpR48u9hXnKbJispelRmPZAXRpPQ69Wa5ZruGqM0Iy7DcpzKLCZMq7bdJWRysjJBNPrKP
mWy6DeObXdJXyJu8Eam5fM8HYIg2WX4htncqgnDs+8+LWN6nIT7KpEfR5mVQvDC9hp/NqkVK1TR+
ioO1AnhDtiqhV2JvLduhjr9Mw0RASRddu/WT6Q89qkPSOaM2/oQLMDp4o0rXTT30Xwy7ITl4RMU5
UMNc931DXsOU6J85Kd2uiL0vsnUKBmW19DdtBPM3ZsJ0i0ZRlxOeiqZ9ibZ+S5pCCnEUWw1B6q7R
7KJ8esDqrH7G7EGailFlNHRWqWp9c28P9iiukNa0LSEmqJnuMrvRr2fXafKKJ0mONC4Qoh5DVPIK
bU+KtoSuppN0K5O0up3VhjhhUs5DB0/0nnEDWp00jRbaKIBPRdNUtiMlZwrFtOntgBjtNPjeBqB0
V1yVEQPx1RQitk8htbH9krIoZNn3m5LthT6TnmnMZR+89CEFQmDU1BgATGFOLNNNzTPu2a+D+Ww4
LlVy7Bnbbq6leZMYbjxsOzVTdvQe29LYJmJdELvMRhdPw7dkscfbRM6EV1jpsgO3mZ6idAxewtyg
yR06nvVgtW63lTDxNEoa1W1ZjtI9d9GgS17VlTNo1aolSm/g6JAZEoyoJZojZ3te2pCFAS6FAh3t
B/pdz/Kor2AXfZUZYO+44fi3cqLqDo7eOsVQcyRQKEG/V+LXTFsepK0ITiJyaQq0FPl+79Ej0JOa
y/WGymFeiiztGEjBzCYlc8T0nPzL5V9RoGUfiMWVn0ovUXsPPPGB9JDqtc2JA1xPjU2XwBfjLXR7
IC8Um8x6lkJ+Uik3M27gh5hRV+8ujeIqmxijTGCj+5S+cZbHlQm/LlJ7Q/EW82hMT3Lpir3M3fYz
iDw+QIxVF8jrtCD57ac7N86sL3lv8q0Xqcl7Hqfm2LjFdJdOnHcXIzIPS9ov56ma5249mXwuIk+D
x8ql7KuHqCrXpIfWe45q1PZ9n3nNZkiDMSV1lq4IzUs2A9CJiHcgjOCSdutjGph5zvpnSH2tyrB6
pfkX7800oaPoL1eqaVosT5nqaMnUKIE0pL3cdek4OtdZ3Zk3LmozaOELE7LFpXkFDfJ0WXdGTNQw
KfEGx39gJiT7LfdRB/Z7NUyGfn8Rtj8DZQpNEcqs+6zX9ySDLY7+fLnnu5puCCDlttGkXDtWtZzt
wir2MC86wBnFAjE7wOWVjf6mLONlJx1WQOeYvLYa9AtmifwU2srYqmjwN1WGeLDziAknENv8kpv8
CfKm5ugV+v8tO+6WJScWLOzP+TzwQtt5aZS7qUfD/BJZrpNs0i4FSN6y7iOD47Xl0WcF9UHBb+Eu
/L5YDk2lhNUkFl6UqLvylVZiQbRLYQ9PnT1Z18oag9MQBeUrXu6J5LWInw4ud75M0TObHLvgFFRW
+Zp6LYrTejIEjLAhM5EkZYH1QHHAJyzQn/cY8TDjr32EUXtVxPY1dUvzuVP69uZmprma3CawmfbD
mHZQnvQP1m7T6Od8yatXKM5ceurb4ZR1aCs6Wq4Y+H2jfV2IMwpNOnK46NE4N3F6xeb71rstqGQr
pvToqneY0wp3YYAzcmiCk9nx7XRdwI994hcY9DMxA3mh9l0D3zAs5XwWtMDPVT4EL82IUB7I62Jd
ZVDPbgshg5ObCd55R+Xjbgq2w70pXJofjEX9jatXwVjRmnMrl5aCSw7WOvVRDq9G1bNKvMV8C82k
whDlGwTKRRW/6bJxg01JdYq8mP1ROdwpyDHG40JB8N0LKj6w6vQabMyZledW5O6SnQkkHlrLwfB6
f0PKCmWfL6PhG6BgQW7vaE1fsOpPX6fBZwrVciBvaKVWIW7wAmGITboU1NmhuInGrn+MzdH/uRqc
4HtcTlgTXELjViRujrcOPIXd7Hozllbcf8dB1cFLIl2XWAVAR8HGK2lwb7IqLudf2s//pan8jdBB
oOmh5f/XMipiR8K4+KN06tc/+k075f5kO5LXsV2NI7yIGX6zx4ifpJ5TMhV20RYqQYf7N+2U+snB
BvAX9hheTdCiZ6xr/1PtlGch3PhDm93n8sLzeEnehT5p/HEq5A+yLImQtg6+Pxd4aofSp22q+L0V
c30djwJtT/B1LnwX4a4fRk8mTKu1Y4oS/nbY31Ams4c2A70yj6TUbeO5OP3msCKSoMgey2IuAnyw
/pEnwiNNp4k8ub5+NUVFTPQGJ1j4RAhd8Wx3eNWqfAwyWmBG87MLT/yqjEJ1TdfLfS3MOiPkzW7d
V1FJ/iVbOuq5k6XxDZLm9JSKMp++6ZGSl5xiQitv8CBvG5I1/HBKrky8Hf5eDkHBuNQJ9f5mwLbu
O9uyYBrTBeXAU3WrJSqGLQpFbbwDM93mWM83qCOmG6uZsg1QKv9rltIku2q7wee24As4WOSuXoOs
79fMBdBaAaAst4E/EniBa5HE3xY1br4UV+EYU4z6F66hk35pkrbYulYAKw6FzJosw/GZynR+yEFL
h0espDF0kLy6C+haeXuErc7RnAbjpWvptYKRn54gShB2xuGAwLhlqL1ncsPxXnhyMogTbpaIPTsJ
zHoXKNC9a29xOvsWtPVS7wymlI9N7TuvfeVE+BeysXpxQse/RuhnPU6j0Hc5tbgXERnxjyp1TWyA
9giNNmbstcoql5fvxOVpQzT5DYoy6K4eajGCDzCK51vfHThC+JEqEIo2dQF5u+jLKwvlrQBBzz9m
Fl7oNYD9Rq5qrH45LfCcvwEdl3rXVTFBk1a449dulwfPCR2EeO32ki7L4LD/Z1jmLYjNrnr2y1T0
a7hA6tnqDayTjY9+Rdv7rUeMWHyMixcWtC9QlKlT4iiizn2tpqxuqQl9GkOA3znGFFi1wTta5ZUd
cpRdJxBU2hUOOF6n1uHlXQp68UQhwRsYrRobtxdCb1nzrKpeCHzmiUA3gsBGl4zVBKMJYUYb3yul
fQNebwx2bReY4bGrhnhZhWXS/ZwkRAbG6cJ/dwC4x9zxuqHblCRdrSn0A0Et0tCnFYdsRdDoUn94
f+lg1y02wJx1M078LwstMcjGOX4Mop3J8G276kWCnV07RsWHCOjS3vEkl9eXK9LITKfdYEhxHDOL
tVkPNveXQUTwPDY0bNdQoEBPOqM9LPumsZxXc55bf+2EE6Rbs6leattayIdy8dKEceI692HSq23K
MKc8xgIamjYeCLGu7ZjXDwVHu/2c+z6MxEx+JoloNp4v7xIleh8eshljxRqpJ2/WrSSrzLCFdaMa
Ql2w+7aosFuJ4IE2wFAvn7qRAJFdmemv1Db1/fF1FtRNN6vyimKpvJobMoBu1BxDGyU3u5VM1YAs
pKXBglB5He+9MWOHIkIGN1BuWvMurqvs+4IpBFy1NPSaImoCq4Rr+Pm+7Il7vvIsssyI8EE0rTG+
46ZT9nJoFzk+8Pye7oZkrl7AsGGYN8veIj6KqEiEkA6q0M7v12XlIlp0bYMggdaGmdMzRxXruWm9
G8qY4CpRs3rmy5TRBmqt9ZBEM1SZrGmrl87p22DnJfb0aWAV7+HB57tFWPbaHEL3vo+79j0xSGlD
Ns/PIlPZ9MmXIKDpCrGwbfTofBhuwDXqD4NPl6elWC2lW7TrbmwyUhlUQWgKt2xYDpNyvcOI6v69
rhJPbC2a1JqpPTLy4nToHENyE4+i0Pd3Bsj63DBavpZAEjkh2TkFEWfhLWmoNryhThACVgd0TvLG
qeAGUNiXmR+B3uOJcQ//oHggY10f+9OMPpyXRjY2wsXbGYyAvzleLk5B08WHZPCtnzPXW579kDH0
zmQLvGZcG38T9TQ+9q47H6u8YGyTZMEaUNJTkxjNc2Q7jDjrlDS7TPnxfrYgvdNtyq6tibZWxmCW
JIf/x955LEeObFv2hxpmkA5gGhIMyqDMzAmMTAGtHNLx9W+BVd2WDNJIqzfuwTW7om56AgE4jp+z
99oFKGt4n78xvJNgZY24NjiO42sa0OLbBN6F1ndF5PJ5Bzm9WeN+JWYNXuElMWDOhkEGTS4CrEyB
dm12L5yoAbxFUqXjEHu+nZHVAQFQjTqU3eSBNtBucZ1goNEdDruUqQNGiDxjNz8yfInP6MftsU5P
u3mwBuaUGX1i6FWrTOvDG4aS7CbKRf6j1f2tUZbfrAh767qDYBrt8dVbF3VW6uZDWFvVI3Ej8g6T
503sDM2tMrNoNUIeuA0Red8RCBav8p4p2HWDgi1I3Lze6lGsf4vMETtL6N3PkSmeelBS+2pyKrl3
RsLFeT/AFgWDnJYXfwyIlwK0XZs3bRtVjOLr2NnmeqwTGT0z8go5CR7buMKtZdJmy1NYsfQSJIYE
fGP1FjhFqW8wwIw0JCdwrobdOylzkb4vAgUXGXajweh0sJpq7U16d0/ktPc9QRXKPCoB1N+nds+Z
hiHEwFEe94aV/pj4vJ+PtGevOlP/wVS7uazbmSmjMU61IFI67C5aMaebgenSnfI1+1xNqXHMDNH9
GexJ/lB+VDXPU6fnwzERMozOO0maQcRIYF038hv2wfAYx0ZI+GgGt98zpouhM6w1Mb6rwRXy0LeW
di1lJ7ataUWIlt3id05L8KKZE0JZHWUe04Tpj5eIEFhKLG782neup36MiHwugTyuEM3WV64WInoJ
G7PcxL2uHW2UIIyXe4Lt6HNjtxLToeY09SPpO3vtVPUDI0bQmbqE2lwNWyJTURil+nfDjGgcpu2F
phz72zhGOHvdDKC6EbYGvaE4RkRhAxQjjvqyd2Xg9SM+EJdxUqwbPbtmVU/2xRhjcxmQW67NGDwl
pHyzx62vtCt67Saj3fiiGL2K+AbjKYQJgVVRFJhEK5vjUZdtxJRjzatp57ZmbW/jCTwrZmd8yZHd
iFUp+ITvEBJjeTXN2jp6kS1uGC10d5UkbYRW81BxPXHHNJbwdbcbLlGuOKu6jx6E3oCtwyC1MSzI
OYyKQcB0RXGXEJFELgDlx45WQbKZTDL3FlKBtuo74TAbbXEEEthm7TJLV/e6lMO5ai39iZQnNigR
VZfsQEOQMKyiWVD4R6vTh33NrIf/aNr1uQUC5ZZAjXxYY2ockaKXCcNiooEOPea5Y5LgfpEhcJgu
9S6qLFIPepuHAqMRYeF9/I08yHDtOIZHQTEN0cPAiGflthNAwqa1aHYUUzDpkclsKfZ2ohf8Dh00
OEGjW/fnNUIO3Icqix3eBIC5CHcYD9lJz9cxj+FGN26R7+vR9h5rnwsf6knehWnl7iA2h+mWz+EY
kCNHVsWCU/NC8hBQA98SmIhYTDIU3HD4b89JN7MZi0BxOEczQA6haU7Wjv/PxIxxij0O2M7wK216
8ccD6rtNMkH/jEC7/CdOvSbwcTBt86W0QhmNL3tQZMXb6B/WeZGKbaI19ZY2PQfr3usvxyWzIFR5
t4bNt8QBugQTpMVwNbdebT3wfcsuuzK3cFIXDFduYKRapNM51W1fTJG4zUEAzQTI+ThQcf4SjDza
L5lh6tHOFyW2bZxwDAmFkV1HfGSjIZ8uygwst3q1fKetFx5byoBLM68RopXKisC7DCVG8cUzTloe
Myhc5HNIL3mFfHAHCVxdOGRQXzVljPvQJ6d301dOf8Dp3p1PRqP23qtX3ena+3gsDlhYz2sPEHzj
mw2G/YqJGLvlHk+kPICMC/cy8h4p1Mad29K5c6V9TF8N886QZdmOrIMoPwBPGo1d4s+zWhGYgtm+
ykuM94Up5lsc6PXLlBUY89nyCFqrS4ZxVrkkRVtgwDNa5sVPRcP9htHmfE0shUy2UZ04/Qtkpnum
hGVGkGLS26G5J+vYgl0/EQsVWy6SofyJrOYpPiemzA0vrFJ/7ka/ZmJHIYcjt+nPMkye/M6pAhed
pbF7i3Hb0Z+Sgn8nx5XMyvCmqttmR7NzJbV87dTj0xwzOLIt6UXuTWTWDcoAddYVfEHH4K+T/M0/
SrO/9egn+neUhxZxAT5YfoGmGQbq24MxnsBegaaUgSulfTZanESdJDbvZ+W2v3xpJF9I3px3Ir/F
w+ShDrcWBaz5Koj7+XwL2Qe1vPF/8BUqaBFtFZS4Oi+6mNIdw6bznGkdaiCz6n/GOSLdq2jwesJD
pLBCtW4NLS4uUyfN2fl4sbeioU+J7mwwrgqipOoDlgL/cYg7f0tSIQWgTZ48ZVsh2l/Y8SyfA73d
zXem0EIJtSiTQdL3lJlk/D1XzjB2d6CJnHY3o/0Y23WJvtT+MXOeQMfjTRzYotCxqPUjziIZO8Y9
keH19zFX7a8lyeSPNw/lneVHVPRd0/LPC1Ovv+uklgJN4GykLXunzgHL0MLjrLV9u/MJ8m73XlTJ
QPEPymu7qg2xlzE9121reNX317NwIRrjC5HsO0Gn7jrCplMDMxYR5KmUnUAsMxStXgWMGDjROUnK
2aAHfxmdff50LU/PG3XjspC/TLHpfVjm6dPlSU5wTc5CUJv5iWuvKLb42Pl9ePfs5zbxOFtH1cQh
ZOYr+/2/rr7oVkmb8GyEDOiR3z7btaYMV1eowGRam/dipGeaNImifszlwvxgVdG5HAK0keHEF7Jy
w3h37f+oWX08GJb/7trJWdbAv8oqaI2aP30Yo96+dLPGvC/hLRUb20BbSRmjCC6OampUnXgoDn5l
5OZBZE/G/evd+P/tzS/am4jQ7U9dopfPSfn7Dfjnn//Hv71NgS/UEuChLRP5M+113qZ/e5uuQaYK
4zEgPobLWJ697v9Col1amx46ZhdoJU++TkPyXwuXjbvLAXqG6Nfw0Tvj7jrhYX7GxzzdThFLowfi
z0FqD/lnaeT+LXdXPikwnVoMUiEu+K2jLuFTff4avV8CDxu9W6bj/JUxir1dAoX8Mvv252AILaKE
vJWmypUnuKX/r6X8wYfoq1WW//2v7wLAvWlyYlZxyx+t9qOafnfOF46or5Y42Q+Iq7ZRJrFEPx9d
/ago+OaXz6/C0F99VX/veZ4HD8SmHDN5Mgzj1FPX5hoxKyQ0Bo5Wyp8V7hZKQX00t4zt58AJyZkh
sIPhUE40pdXq/W5qrWkL3M/Yq2kY90kt5aMZ0+xYM6VMN7Jzj6ZTDM6GUft44dMAQPwg9Y3VEZFo
DGF4Bz+A4bJb9CnQb5SCbuqm560YUA9XaKG8moQOr4UgbQxBT3wiWJdYZ9AOYSDT3PiSEo9Mtabn
IJtIel6yZ9qp5+45iY/iu1YAYlzFjoov9UYTjKdyKDQ6us9Ycwh0WMjKq2zq8g24oP6i98lgTHCv
buI6JuzYbajqChcrRWFtPZpBm9adi71tthd2ZnYPU6ns4xj2xl5DkretLJkyxYXWl/eGvWszj9MA
CV6XHgKmbWrZ02pCpnJruR1/CPOuC7K11LaaPVMh52yNyxA0dlCl6GWiqo+PYTqMPzkNqeMwWz1S
lnCCFjtAVdKS+fdYivBbXGNU2xRooR/wXjgWaRbGbynpmaxxCXR/tMae4vWU5t2jb/LR2k0cQo7D
oPMHLTeYIcdlhQqJlPNuCdRRjgCpwmEbaqrVrRKbqCGgzy5Q05YQCiJWXOgNqXaVRvbvroXoMKqu
/5XO04M9m799QLHfJxO6od1rybcuA/ipK3StKxk3xp5K/vcy8Pc5ZTVzkDYcGVO8CxOqiLl75LBM
/2bi75HStjsUlDWPiUZMG/Ge7nnh9TEDxzHcWo4ELAXNASKimZ5FJY0XX9aSgw0iD1r+M5o3IaK1
H6pw601KR2eQe9HBQZMcoBVhAXMW66ZJu/1YeFlAgTbcAWLv7zrofkhp/JYHg7yLYx4R0aTnYXbw
cMqubK3qtwPGmGvP53auGouGQoFUdWOyd15RQ6fpWYoKnQy2BhTjRE4HZGzJsBeUUIT3INHvUgKI
pxWYcOeaM3e6j6NI3xsg4V/I9YMiNplaeGWOPhLaLHbdfmUblP2kTdnXKpbmhqA5sQb2ax9ULZuL
RqMDaRTzcCb8WtyEmqXtwZpYN7RBo4vRdh7DomH8C3cGeIcz6AGeA2GeNRKfdt9P4BmzJA5fOgwW
MLDGqltZWq/tK9Tuf+w08/6g3uvWLYke59I1/JcY/v826hublqnn6Vut7Ui4rfzlfoTgMDfGPP2i
bc+dbIcp38YRVgyjNVRQENV1kUeRfY80Yt6GyoMxaGmOsffcculX2eM3zwwHMEZOfNSLRg8GOI1i
Y/cTqgU3GdChIuL8aWSwaJuiL656axqfpWWVpDpG/jWgI+sejQOSeWBQ2nZqDOd8NCN1Yw3oXgD+
eDeUr+Wzip3xKJWabiZaE1dT2wjajKgFoMM651mNyMRonGEN2VDc1SB4Nh3eN6J6ECKuGbWwAOUg
m1duht1RMgEq8e6HHLkowZ0N9iYiLMNR/2OTdF+sYiD4d40cUvjqog2MgU0o04p2z6OBN4PcsV2t
6nbfVSOxRG1Nz4KvCiAZ3W7O85HW1zJ0iO9nBtrRikMvf6YTxgTd+y6gKbR9B/62EaOUaj6oTDXn
SKPVOndCIsdTUeokpBQpIQtUDDt4K4KOVOSfOa2PBASpBK2VhdsWZwl8W8HRcI0IEhWPr3dbXUl5
9o9oJm48tQNfom0JQuBAYupEDw9hx32YqpkGECKQG6rU5gXWZcc2NmTHHELnPk51te7YBX4kHHi3
1eC6AUEmw29XR1tiYqo7f5WEjFUCQsDDQ/bcch56Ae+FnyJHmvCn9TEAqZa4GTyR6HkWBYlZCgcw
M9IPTHHEU86Ou4h8MGy3HrLdwcuYtvMMv4Z/eZSu0SI8X5bE2oBwDJEZIa/KRJpg5YtuMOvaJ3fq
SC50QAivbAktgUaQunxVK5ltZN4iemWyb8fV45AUxb7z+3KP4CiEdW/osAEXwGuDSlOfFi1D1T+D
4OjOPFd4MOj71Nl4YaYHgIgIkFRyuPLR1CLGiQG0SvKvL0UG/8lgROavMANMQcX5nikdWqszScYP
9bY3FAdQ0kgdmFp1/SIBngMi1vkL65OYA58Ozp0B6+zbqxElsRfh2atb3am9kpGKWIZRdc+y0DzD
wzR77cqQ6HUgx2j3dcKRY6XRuyUoasZN7qLy6unY/HoVvND7B4YthXMegmhGg9Hi0m4iYEhNqHl7
qlFSzmstexwJ896XZYPMqhHa1iHSCok3wqnoVR63fOxaH4G3liIVGwViNstAGVL5qM3pYU03llT2
s1E0+basecChEWWHmSd6zQkdMq6tl79TvuFn2Fra+zYT8yMPUnQjYi267hh03ZX0ndbCbhH6yLrc
e7Cov3UUpET8JmZ4kY9lxBl9EbaYoTbddIwOOePqw29SKrSHwq1DBGpdamw8Tfz7O2XdFP5ROn/Z
ybbGnW7XxhUdEO0+Ap56A0UL4XRu9lvNmZLvZd96R78aOPyDJnyyemU/DVKzn1KnVld8qcSOzEpt
o5KEwAnmvIEbhtXlHGnytoqLcmtKpiQk8k1Xr3e9c2g1VK3nXZtL+FRJU8uXbXruSCwiTRWTCNbD
Oat4EHdMAPRzsl7Lbemn3VmhOossONLOJ6nbvMSurw49MqHr0GOajaMJVfnrszx7BiZGzfaoKzz7
fCYO6Mpty3BL9zqi3Q8UbYWsJbvWm7Q4Ewhnv/khbDumprZDSBQfQ322+flneAxZWyGoatD3RaNv
FWt8mDFboLGornB0ZWq6YlNQZ2YdlteunOdNQuMtor1bq0cd66KzAtGbbmeYt2gKM/8ihx1OYp6b
XhMKBSDKQttn9wUSyXEGJ+mOyCZlPV03bsunmzBjIOFNhfJqmguXzAtDhswhjZiGC7SpM1/iwqAr
2DK36fLSWJduWd33GG13PRsONRB693Noqd11gyoSVacYgD6gT1OjUR8aLHI7aAYaSStZqd23uo6A
CHgbFbMNej8fEDnqUcur2Tlk8s6v1nNvaBA01wMiK870jzpK0m1RI7yz/MR4efV62QX+HXsc9RfC
vdCHTQljQM1eLJGYYrYkepiHGc/JUdJhPYjRVluvUxKSuYkSzFIDPsDCF4CkGCqw05WtNR91gdqb
5MccaVzIf7inyxERAo9w7aLvNJDb/KM3qQWyh8TBJqQFkNr7RLdmaD2h2I8MZJcrunZj0o7RdsVX
xpyY7bpPijuT5tQWa065netY23dO1cmVxdgEHYYiXt0smzsAyniBs0Q7ZwR/0wNGXZFQFQMK0357
TefuDJsRWY/SP08VfUk1ZBvaMOycTtTKnefJcVuhMtuHIbL4krqEwZcjcb82urulQozR4TukGMTq
xkRqtc5aUfx0S+0nksZr9CnWzpzGYqnbmjMgayb5tsn9WMWM6D0tCtit9tyIYY3fvtxE2JSQ+Xvf
tJLRX5fi3CE8swk33rgkNljoqXWvw0LkMBfJ3ZrrBehHhnyP/IUdGwdEDU2ojKN1RjTeViQ5xvXK
Gvr9PKfxj6gfHKhIBk5G1U/DdvLm6q4G+8EsOcLvSSc4Po9TUd+UZVZ/06JsiUpWBY3HGq8BU6s7
15D2tMm9OjvrBzUfzMTP9kTz9YEWw2zdVFFj39ienG/SSMi7Gur4FoOTi71hksVGzEJsJ1eG61DG
8T4nQHI3NBlHcj1PDgBcFfrhrnnx5VycG3Tmka3mji83YxVZIwp4Enuz87Z8obw3vk+i9C4Nv+/0
tTSd6jg0KUH3tEbHm3BW1VmnENGmWtzumLLzKjIGwQIIvZAhkeRX3ACxe7Fjmxj5gWCBa9vo0mPp
dNWuh/jyXUjqq9VkxOaV8vzuO9xX95ChSHgKlauHq4YYjEd9+UIKo4DpFHsxwUVlfx4nnn0ZF233
BKLUCeCLj4fciYbzUVPZz85OcVLFBj8u6VzhzeDWxa+iJcJhEEgq0IpX8AnByx6MzLQvZIdaWIBD
Qcs5lGRtI2fqt0rr7AerdIst9iWDHjpwwKtKU78zJm/fzMot8SzN3jqK8nmHFzVdpwPZO9R4M0rx
uMCQ0mvTuBFKspOleRqkNYPoWrg6Py9f24PiVIFL3poRtXibqK3nDTy+ey1Hdl92DTmyiNRp3ADV
8pHlZ0b9hLzFYtyJbBVTjAvhyqEy3le+KO6rrKguujk36VRjUKGeL1SIxsGm19lrgdWOGuNcm7bz
b9XlGOJGSPoGyp7HTiNIlHOnt+cUg2BAS8IHxJ7dBR/F/IZSMX2eDKt6SJus+Vb39eTuaw0c4Ipx
QkIkVrXE2hFFSatb68ojTfexXL9KMDMpCNHt5ZgeBrP/HY0eFgXaOxeT75XnFpXtz7LWScAmG2Uj
tOxqrgiKXzHZyPcdjso1ovfqIhtqkO5w/7or2rvRVUoxtErtZXxIW7nBzyiw30pyAnj/f8Hjh9TF
N81f9QAMae9284Ewvv4m02ky2LBTHifZIhRRroG8omC4xKj+xdLqH3bajj+Qv93NPXbVnYusdKOh
KN2nzczOXmvWmlctv4PPBvMZ+6u8dfS8Ldb0sHeC2TCagaFH/hrb4DMrex/Hwr0wM5JJV5ns3bOY
IL+AUMvoBYVtiyVEr1BeaTCLo8m956jD9wQD9o+wIO6xjvwne7LHc50B3J4/xYQJ0nR3dmL/cnNP
Xg9Vp4D2hMNuyEaPyGFLpZe+P4/7QbrcMTIA9jCbJ0l/hZtihe6TO8T2fTJUAIj7JS9KEo42ltRU
Khb+ztGcfWfF5g1nkEc25Ox6qmdxaHDQrrqROXqNdOe58hFp5eh+A62x0itBhi2sRo1TjCmpbsFs
k0M2jOVtCWiYClc7FkXRnXWeKo5hookbt9EjwNHIs4x4sP4YEakQVTrWW9kn0SEkrOS6dKb4Incy
586ucW5i1J7Jo/mellCG46zdF2y326G2ILl2k34Mw16QsgE0oeqyaq9Af9517LirfoIt6vuDvpd5
fx/1RFJOri4OVlSpPeqbH0jl3CCNkMSgwp4ObKRaUFj+cEEp5x5GG09aGzUZ9W9V/um7dEg2eVe/
WLANvrde12NyijDSv1R6murnRt2H594Yphu6JSMPW2ve96Y2qbXmw3O/SnIZmeuqbJppZUlUSbum
nGaOZrHEPaRkfl8WfrkqHOXv42SBldDCusfl/Xua8FDrM6WKbCx50Ofxp+twanByQvUoqjgkNRim
ZgN3QJH4xpJME2ioGw+8/w7zUvFYYBhc2yGROFSF+YZ2x8/WTDCq6CrExcX3VY1j0E/i2eUIMqXz
hSP1IzWUoHNGm0jrPeOn7efjuV05FoMvi0ZKRrpMFBrB4Gvhn1hYzo2ja+axnfw/zWRrjxGv3oNp
ujLeOG3VLNLVKdy0nrGkRzvVXvenHmp1U25EF5FICnPhixHT6VwRFbD/OvyxPTiB5immCLGDWQ6a
JwPG7s1q0GjGJXXFM9nsOY8XX00VT2Yt/6zGFFMHtSgYbb1tHruTM1EnId1QVYQHBQzEigHrtM2j
Ot983uF910TmwqBpEW7rmIiXT4Edeitq2o8GFxZ70f2U2nwy0sG41Dtycj5fyv3gqgwT3S3hAj4r
nvSrDaSoKrdYqmQydJHlXRYImVJy8vASPjih0xt4uD5f9KPrMw2Ec/ThgPmfLuokoWFq5DQHKuMu
mlhtV0LSsuNMan9xfe+SAbiVvNCMMFxoaO9mzxmb/1zXmgwKFVvhKg+1lM3NS88yk44mea7NTa0M
Ooj5HF/2+TR9sf7yVLzt1LO+ZTG/IamMGc3JU6Miu471LGoDr9BowJdcoGjGh8/v5+kIdHk0LZMH
c5GdM2w13z6ak8HnAt2kDLqO1q07xlQRkWuFV7mpz8GsSB8aerJtKkmR/PnSHz0/DF0dU/cZ3oAt
fbu07zBEjExLLk0ShcXWQS6cLo1gV9OJkMZK6KxU3IXbz5f96NW3bJ3anF8WfPCixf9rkmO1vqjc
hGXdJs0PRjE8kMczB5HgqUW3/r95YBEwMGwlhs4Dpfh2uUg2uoFKmeXazrlvzGbP4R9QN+ldX+wy
75hBr7+lj3aBEzgbjX56Q+f5399SzP34s319NlXY/yIoaFpphN2Dg8HOJ7xZf47DpZk00or//O5+
9NASPCtcYVsg9k5H6plrdfMY6RLsSGQfHVjql3XEFvv5Kh/tAvyEy/hKZ/B5Cg+0Qe70dsHW87oL
DIRjA09QExaHtP5iw/nogmx8UZ6Np4QR4/JX+etxyaa+RNIzsqGODUz/sfohvOrH55fz1RonO2ni
oFPlQy0Dw+wuZyH3tld8BfRafvzT3YTnj/AIHkXHffdw+Kk3SrOTQU3tehn1unkw8YWs52FMvsUa
OwwOTH3JG4Lwb2Fmhk/21Y72/tWzYC4yQuH98xdS8Nt7ifoTd3Tlk3iH+WDVVZ1Yj0bWXORairGx
9svNf72vrAcY2aeOWmQOJ+9ew7HKUzCNgqKcKFCEOhIs4X5RSrx/Fi1m6ATr0No14QCcLOJHRI3K
LG8CkqII/airBGX5cOGmzDI+v5wPVuIiPMcFkg62yT15TPw2SWal0HCytSF+1NpzS7n3tUwfP1/n
g5/JcG1Thwe2VEf2snH/9cijaMwsX7pVMCf6VubPmpcTYFwuftLD5yu9T9/xiPr5a6kTfRc9KrGA
aSAhDT6Ne+jBq2J0O+h//gBxaijnB1SxxZ7Yo1BuGrvzNrrEcic4sm672ey2KdPfvdnSRiukRQO8
sPGzOl5aHzprgqMxxvNlmHMOtJvSwgvPtIhzVbfNzS7tDi66wqux6ulgK7CEa9pshF2IZP7iQu1T
uc3rF5y5ns4LYIDmOdmbyanTLB+vDYSxuHsio1q/MgbvVgmRPBdzT6ZWnjM/zTFagvLcIQCmZzKJ
MwH2KEFvvDYatF5m/1CEHIw6EUMxKW7r0bucQxpLRZU1sKBH+o0JkZehTC1s5iPWGzmQYKileAwm
u7IDZtsYJToQZKyTbmjhuReZjZYhzQDYT+zXGz8a17NLnrDNBuNzt0ziA/y51V/cxbf6+RPwwbNm
gitFwcE3i5L/5FkLcZBQfSjuS0qC42DgCOJXn4IolXgPJtxYwecLvi94MEC5tu2gp0RYd1rwgFwZ
hrEuqsD3Ohw6SVVsG8D6F8Kqu33oRd1FTOv1nuSb6PzzlT94fanm9CVpy8M1ePr6ykgNWtyLEjia
Ut8GMRo/SCA27uFwpr8/X+qDi0TgwW5Er4N/nZaOzEU5b6oe6vogmYrAq5G0a8lLhKQjz0SbJd66
ZcCOIhXjy3/fpqirLBSEWHqpoE8edTeLQL9WZRm0YZXsm7G8j6YFFJcq+Z/LAHvZpJDJcZjznVMF
HT0gzA2IxwOISk9KlePG9EiKxj5j/efHlHIDwRTCKE4f73CYNQlUfTT0ObqCftzMgsarlV5jLhRw
zcWvz3+99w8Kzk0uzDQQ2SHnOPmiRElel3becFlOYQVajcGRGSIznTa3sq+Ave9fQBajtKE0wHpq
nn6+GrQhsegLrkyz72NLe4K+9SudrHv8zl/UIMu7/LYEYSmOpYJLY88/1dYSKZuoUkOIAXVta9Er
9Sv8rG4+4J9bYEW5+VU1+vGKuBKQsS0v3ennxa5dD95iFjTGcMj8+rlSxr0lswaYgcjJGTMv/vtP
R+ENMpOqgxWXu/3Xp9MBJg1c0M0Cre8PKh8C287I59W/WOZ9wWiTtsDR0Fr4ueZpQ2Hw9ClJ+KMD
IpIX3iWhL/XEF/Hzi3m/i7CKoVNsQKoleeLkRQYANBGCa2SBtOho0enBMt//cUtxTJuOgbo3ry3k
oZ8var7/UrIqGwdOaAfw7CnOlUhUACcxzQTfAdM55j5tuLLOoGj4TOnnkiF2q8iyw0NoZzFuWr9m
7IU1t5ua6CxnjrwjKRiFuNPcwhkAnlrXFAdLWdAsjBVkceLBN2HYAjxzvvjbf/jDLJHjDANBIp3+
MEgS4pzJRh7QnS63qfLTgzbR5/z8Hn20QWBVZ88jBQBLz8kGUdiYOMqoyoOyc0mXqYZAz4x7z+2+
qlo+eGEdX1Dbsg8JzrAnT7ObW2XdlGxEU20hZAnjs0no0+7zq/loB0LdTxvO41DOvXu7ygyVfcId
myEeAtgzuHym4JuBDGnzlyElsebz5T66eVwS1gKU5TpsibfLgfYUJGLxiqos/LXcO5mIYyHDp8+X
+ejlWUIlXSS5HAxOH+OpJS98rnh58gQvfqYMRmyh84thS7WTkeP9HHMA4nQL2y8+VR/teShiberq
V233ycNB61SPLXvIgohgt67UAMREuzp9rNP5ju36i9U+euA59pg87Jws3zXJYL0iIYXMGNSIxPcF
STPH0QQ69/nNfIejBu+ucxNdAA6Ghcz5ZF/1e3Pq8XBmi/lNf0xivdoRRI4eLbWGnNmcOz6kWBLW
fdUN1w2emCsnd6197KHpnGF0MVgmmtdoQGiCn0GP0ffpV6db48M7D9xheTMtQlhPXhcZtrqD8Zyv
zWQzJuiaZ6PzK7JdvPYscb0ngtHrtUvy9EVeWsljNg7tWehXP2IUHbNY4HIjpnG6SP5KKK0mUpDr
+PxGfvCuMdOmBAU2QXPx9IOYu/wdkolyeyznX/VsdDu9RkwZ5uhX1PPna31wO4xXjbGzNGqput++
aCZwXd0G9hjMofFLp+GwKRz9uVVEF7t+uYQni+6LCuODl84wmNhR0fDFeldiDzJXk4wqLi91vsVJ
BGwY1Q5zDDmvLOBzD40cmw1qjCH479dKpAX4ASobAzDI22u1CQFPpIdtiLPaFQgzSVc6P9KNh9uQ
RY/Kc6LV5yt+9EtSstEGgJvgs5W9XZF3Bcad3VSBpkf4xI0BVUJpdccRpmtQCA7Sn6/3wbbJBVJD
YY+iX/v6hv5V2RShtOMESkmAB5LJhS3Hjd5UzcZCEfu/WYqwK8sTFIykEby9tNq1kw7feBUYflXe
EFgJjM7txHnSG8YX29dHz6jFC7X4EJZO/8kzOiCJK2c6A0Fb9PdAi/GHN/d5y++XRM3Rg9n5378+
bBC6aZKzwKTm9AU0JmZtZjuXwWzOaPzc8Vb2clPTB/hioQ82ZlrqBGJZdJ6xcSy/51+/Vz0DI9ND
joB55DxF07T35ub+i0fC4s84KejfrHG6K2tplto2ayDoN4i9SuoDBG7n1uwJzArzseUu6pCfRlkT
ppBGD9UoyQh0mNX2xN/R/OtRQ5bAJiritLbwEoztCFsuSKxOHmbbjo+mH5GJpwBQhbVe7osWcRan
W7VGBhuexXBcglmfYLEZC6w9ZXx/O/sFYqvSABdcFa3c60MT+q95CteE3lEdVgv7kkzV63hy470h
W3WWO0g0BwsX34CzOPAy/z6psnbNHc52Bb0iuYoRCgaIE4tVNc71NuxjB7FwNl5UtpUAcU/73ee3
96Nnk6+4a/CcWEsI09tfELJz0ynBs4lM+LmZumfcaNe2pe2sArKNRtLr5+t99IZTc1Ps0b5nIHSy
nhOrssERXwZElS09p6vRzM7GrvyieH0/VlsCnRhs0cukTeefLANPOYYz4JcBIvJjXScSzaD3s8ke
GEJfIkhZ9475I5LlF0cm6+N16dJyRzlcnxZkfg3lvx4deiKVmr/Fk45LSNraEaOLnm/RzHDGaZwC
3Go2NJucYG+G2yUbeWMOZw4qfycdtTNL77Wd0dnlOkQYygNX75l3MsH20xfHIMx1nJACQtyONn6H
XTIhcXgTGeGdmYEp9WanWQF2szOgadDHUv4+kG3r33g+jJv0NQh0gjCGo4v/vpidddx26dYFzfrY
WM5XP8VHvzhGUcPF/8dGYSy37K89ItFbpyizoQzIR1BMl1ZqJMrNwNn++ZP10V701zqnhdFQD0Ve
QfUP4FeROkm/YU0s+vbzRT76IMLP4rRKVtYSuvT2YvTGrKsGKn3A0Am81UJk08nozUgvjlv1hens
w8XoV3Jm8XG3nR4ihGQzKnPeFS2GorBwYYGZ71CAoqXuki9u30cbgaDtz9cCy9674jdXyhIpKiqM
ovJotq4ADaGeqlz+7hI0C7H44k4aHz0Xy8ybAywSAiIQ397Kua1z7i91WjrlwJJn0zh4sxzPTHrx
m8rS4sCuG4CWtW/dJnoYB5DG2n1E5tilF3nZ/7B3Jst1I9mW/ZVnNUcY+mZQEwC3ZSuKoihNYBQl
ogfc0Tu+/i0wMtJClCpoWePMQViGQtLlBbw5zT5r7wNYBJ+YbWVHQfWGyP/Pb/q3Px4HImUk6re0
r3/+8eYl6bUyI8yZpfjBUDNImeljZaEj+f/4HA82GxGlu43M/fw5/aSpTKDHO5KJCqo5w1OjtDlu
x+6di/R3Yevm3EWJZfuH92YfWnPABAfay+PAzEjWI3Gdmw9d62Cqa9xUrbyvq+CdQsXvFvDfPvJt
wFqsNowfR6+P2rwcsLz+EdgV4nb33LXTOzmH9bv1u/kMUovGTZBa0s/PcdiModfFqzlmTPUVvMzL
nAduBOnbjyjfptGGP41qTuRdLrdZA83YlJkQknrI7Z9tiiqfEwm0fzSZWGCqjTmjbOg+pmuAu1lT
VVGd9P5+8Wb/wXc4NeH19wimtH6JV9gKx7U1X/TZZJwF3Osi9K9FO14jxRE7nJJ/5P40h7WycgBQ
yvwoEF1z2ZvOO6vpd08h2CZ1KXGwbt82YKtK9H3DfMJxFetpHVYjHHT7M2zMC2qmn4dcze984O9e
8TaZhVDGo9j69rGLwkiVJBg65hKk6iTGTuxf4atWCjs87DdN+j9vmF85hr6NYsbkC7JdSDPfvOlU
UxVd0qo+uvUaRNk8uh/tzJiixlLORdZW1QN2D2BWwR8wd0Xnwc8gzdbjCnsfSd9Bm3EOeecx/Oa5
E2xsI9B4X5JOvEmUAlf5YJ6t6ogzDlybTrlXTUbYqIq2/wz3aD2ii/z2zoP4TRETVQJVn+3U9n7J
fWHhrSKZ2NH9miBltVJ7jyDV2vcJTAUs5ayQlYJy0sHlJe2ySNGTYfLCfs9pzfrNWbnNhSPHAHFA
o838ee/pSCOAzuQ1c8sFlOjXuYbcguyLtrpxLngy3mkoUCMzYoUJQ0UR2dBq+qjgkqfb2Zr1vVIJ
NN1X+8xh1R8Ji5tDNrOkmJgqgdQEzgFJ/g+FGJsje9rZbpHt0ArbMUjJ4Zi50tst2ejFfnphwgf8
WFrNcsO2ZQhNsRE+Z/4YnCvd+6LjefBOYv67708HjBl0b+vQvy0cUW4rqn6w+P5VuXzEhQktqrvk
n3OQHft/fum/+yiE12gNmEbn2nhza9J0krLeriU8lrJYSH+b5ltEeQ6yKv38z5/1+t7epF6kBZs+
jCImHdQ3q7rR3GoEC0FyAIcGSy4axgx7wes5JKKdsJCqjAuj1ZPbYTHna9PU0g/moIFltioBHgla
9esP9F98wzv4BmpM/0ynvcva7z/+59RXT833v1Mc/vUH/yLUGn/ANjINFiiHp0/f4+8Uh62TgGAG
ieVPEAcTH16Dbe1u5V7KXSzIvyAO/HVgekDCgBx0/hOAAwIFToifV9q2fajuImAL6Dm9OUEkhgNd
HQQUmhgPI+HJWnjq5gCFyA/QJpjO41xP0xVcgTzEc+CReoN20mfvmokQHKLqNStj0dv1h2Cqm1uS
rQcH8GYeikoW+9aGerKOGkOPhocDjtK8faEYOPCBMAL1LyEDkhgtc/fEXNkV7tNXljYfEga446Fz
gohNgM30NGIa1eUvoz7m1zXPMZKeaPDmbmWoa/7KBIY5h7m+XrSBfusajB5CN3pqFxx8HOaZlE3x
AKbhCyMbeBSRBW+hwrVnLYc5R3yBZfhLUDZXszHdJUxzUOsY97ZZXo1qvbULdaGn/K6u0MIly5+U
wEOjleuzM5TnajI2ysKjZLKtrRIkJnVmEc7YRwqGbjjrgCdb3F+w7vGvjcF6LKfqydNXg2xivtPB
aG1PYKjhWttl9VKIBss52Ll7q1It/jzA4scUYf80T/cM69z5zeJGlNIR2VfB85wA5TaYPEDmfVGO
ZntaOXchyvQ8GJj5GAycTdqg0VIu93ji3s3Cfsys8pwu1VMni6d2da49EnZYNHa/s/lCM/4kiEZv
7Yp3paxhLwOG0LRtaJPh93AZMmaLTUiUZsuDMrOOUpDTMX5m6pQVymCIRm0CKiNytUu17Vlm9dNo
EP7oipH+YWZqbfssfFDUDmeE27nXbwdzPozZemH4KRDbSb8QHrBW+jgvVsVvc4z8qiyXC5OXc/QZ
fQkLJrgYOlMPazKg3R3cKs7pH8ZlzwdNsK/iLLDXy84pzpQDHjpbJiAklvtaZ04bJQFZKnNfCBie
mmkOUAstz367XkxmCpo16/LrUnqP+aJ/86V1E8y5EaHn2CtzOK7O2NEBmO5X6RwpiQ0sVOuY1rwj
jMeqqMRliIH89cJl9H43z7zPAL3zOfBYCQuDqKE0awvXI/2hSY3nwIL2BwGvCQdgYoY33ctuvLeX
6qVGnh/pbjvEINXurQQPtDIfMF0yW7DDrpZFhpHnoDF57kbDZGtgP7ayKfau7VwzwObth+3P8T25
pjyWImOzudep4za8EWrGci1M5l+KhGvDg33KdZ5MHyyXZVctaRIpaeNCFwzTUXpqornqTKe+dv3T
MmnaTZmpCstAUd80KBiwN6wmTBVkH5laZT0PRv9VTR3D+D7OgayadmM8Q3YWRQwQ1oq9cp2fEnDw
WpgK2AAHlOzNAzSyh3rR3DFeGfeFmW/mEbzTa7spv3aMEUYlIIIlc5E1WnksmJTcbWgMI+7obxZh
TnPg7LeAp11PXldadttgu7ZDBfvQavA6+9FxdtPoPMH86J6bhoFMfE4JZlwZ+h4DqWIN3H2d12Ns
KjxijMEZwpQWKQA187k1WqwpKTLB0NQjdzGNPfRZ3ptiCxDiMrqWGHq8IJu9gXs1HhaTRQdh+dHT
3OvRlDNWVN0LlFWkiuU7rdxfkwE6xehy7a2LRlC6/fe/l3oK18bbsGyP9qQx/zSSvgMOu84ZlaI9
474Tc/8aCgVEJ+irELoBanibB0DtHxtXec0xZavHjVGeTQbLQxc6wzuf9GvqTGeJcIsP26oBb7Oq
2fMWqyDkOZpD+RRs1hnbcVwYMw5sCAXaE/9PfyfQ+7WSyGduAi5EM0zlvhV5pFYD6RH7wKManGyH
w8I9xo5VhK/OcdZwJ9y+L4K/i67ndPvnuM/6teTOZ9OSR6pPofaXtg8gLrgHyt8aFp0VF23t36rE
zbbj4qJoi/LI7Mzz3EPeob04nYupZ98GKB+B+z5nlOXTZr1AysSty4xkEOBCWowQHvz5YnY5vn3X
FFGJK6Nsiyugn/vame7gGD7okBJidwHX7ldatLTk6Q5U0y8psqzI9jke/vmb/mYJUZnU6ZMgF/o1
ezWrPKhb026Omdnv7Va/ZbDytl67d6Xkv3uir01lz9k03r/kh7PhL8RdrNWgsk/w3G+Vkds7zGOs
sHGDgrkkUJapUX8AiXnrDXr9IduwdPaavsiJc3kLVYrNvdMwl4tUw3cQauE9NkHXVjfRgua4d0QO
oi/NADMynfOYOqY61Kkpdkuu8otR7/q7plwYQeTaH83cPg+5X++w1Wkv7CZ/SXIHAmtZ8RYXvz0s
WvGStOuGXQYI2HN5C+uYKeeYZU2O0RDzbJZYLkoPPpA5rreeYg4dXg78Vl/72jmlijxw+e8szd+c
MDQjmXI0KGKZ2Bf/fMJgFk35VbOob8zQBwgnFk42h/pZqM3WO1ndlkr9HJMGlsNMDm8LwNgvQvLO
VHCRcZI8OuV0Z/f5Gf3rOwfmawb15jMoJqOt2v5J6eBNOpdnIKorXW+ObTCJfZ8zCm8n6/N20uer
xaAgDipMCh8DzbyekyDbeU2F2Cf53BfFN3xHMBtFfRn6VWEdp4JLPAs4nYSqrwwjfVkBqENXydGH
WO4aFg7NhFFf+8sqd3eTLz75A7/s9j4WBCrfEC/ELaj7sQNk6HVvdubm1iTNw7jgmKCb+YvTsASZ
vb3CBu5cOkxe+W5BgGrMRL8GhmJNhhemPty1jZntbGt9p6Jo/2bH8i5IRcm16Tm+7R/hozJgxoO7
n1GRKExZDctnGIngtZLvjLEKNQWniCvlX9cOdKak73RmE2sgHqzlpGx2uEuN+zmB1DC4RhuPmf4I
vdWKGVwCazm518lI8XtMnOssMIvY6TiJBG7cMWM7D7o5PyNSDuEHfVwsokMgYgxda/i/ZfqDIhAL
RZKJg1XNB/hHd6njglvqWJ82A5oQ7akCwsOAs4UD4MF01odAdNM7rvO/2SQbqI7/vXaB35Zj5lR6
wKbpuMx+ExPiwEKb+XFsHWsg8Z7gmP78r/uEciu9bcpfW/n1zZ6UtqWY0qFB25m4XBiw+MHSFOeE
myoweD9ry5JcFQnSZHJMAQx6zNMKNg0B4NgCQW6bQOAqPMld4K4UhailwNr1v/WlcalN/k0VYO4B
xLgIl6a1Ykv0z3Wx3i2VuqjxVQu3ZZZa5RMGjESpM7i1Vb/CYiIultYESAW8B+zyfuCVvqaXq71Y
ce7wG/GjPLvawJ8Q87QXyTiE1TogQPOX29ckKGmWNoZc3Z6bcb7PqTLHPtLjaJWkes4633cDs77K
DsLAmu7N0rjFhulsbcbdhjfGeVOqePs/Ws2vJNO2IMUIsM7GLmHbRv3iYGc132MtSALhlBr7SWhR
JYmW9KS4WmSJ1ZDgd3ea8yhhvWy+F/IycJbnbhjieeQB40hxBZW13mwWuTIq+7HIprvZsl0MYp3j
1NS4BRfntZYyRCBO+jNUZ5LiA3qLhu75xMJkd7jzcFUZzlfYXs25NJxrvChiC918tCVGC0xgoB2Q
8SgFX1eD/Wh2+Xv3sfub7U2ss2kyHXp5TAz+fL5XyiokbGBKmp56bvrpDs3lNfEFD89hW2/x12uq
3Q6BsR8CIr3XPd9kw17N/RzKgj8mMWIuB8Q/QRnE/tRZHpPT6FfotCEHXkZ1rIweBnaOGSjuVzlD
SVX6jLV3cCUYS4/XlHtxWLPgsuEsZ0zBujY1zphiUA+TRbildxaAOz1n3CEdYPT5RNYpiSH3YWYx
mlOkhNleMd4PEycoA1F3HZCJiNnnq2kc72yMVXFDgHCL46AVy3m9wAnuHgY4nBxDW0OnVc9uj7Vt
J4Y7iCPFsczd64lLhCRzvLfgGW3R/OD9db/+t8L2XoUNkRg1/X/DOuOn4el/fjRDPqjrp/rH//0/
V0/4f76trv35h/6qrjl/QL7YRi90BBvIbziW/2KkYvLEiga/S0jtb8WyvxipVvAHMxTUjgN7a45z
jP67vGZ5fxB4IGBAzmh79Jus/6TE9vZOCDYR6jZ9i+SJRvzbunGjg7yssxK0aGo4K0eR3VwyMaE+
1cYChIgAO/rb47n9M4b5O1T7bfTEB+I25RNV85P/qtnENzobtNVVx2WhoaxrE/Qsd34Ppf02S+JT
CAa36XCH5sMv7acBLfwknWwhS4InNJuL/FC23QTfz8bRQpur0OgRkdmy0O76Gfeof/6STvD28tva
tuSEDBv6Ju/4rdBkHBUmO8objuxnwNwLk2D7ysuADRJXXi5Ups4LHIz+AGkEXxiBy/bmYp3Ti+zJ
bD9iBG6kYYtdL7KUDEZyiuMFfj9zSZ2n5PfCV6rryKo0zHcWAX4PVl+PSR5QC/WCdqe8swofJ3iA
P8fMdnDY81x5RiMrH+H1qUMy1RDaRGooNEWS7kGIpHE96nIx7pl6FdcdFsj3wESX28GCxjq7vXiC
UZ3rkFQm9ZKBlt9PTTU9VGOjDn2xNJeJQdAP+wofiLk1Gxx+dASmOU44RqrzB+clDy57shCiATe5
CyavHuKpF3p74lFtIHHCe4PagG1bB5P7Bzc/r4cOCwDqXrWKK29psxsH9gnCJyyBYBjheyy8vPvQ
VpOVIuAGg1IMHoa6LrN3KwYzSH3qObaSvDtTg5Qf8OtMzgy9LQdXGtVJMsi3I7SdHgqMeB9ksbof
eTvmjnDO3DUmKfXoLvJZtTP7waOfmM+N+sRoePuFmJk3I+loHN0NYOvNhOXW0ASXrqHlRykz9TJD
oPoEvlp9UnrXf3ZBoFwmS2qfoGIZ9yMm5Z+LYW4ut6T2sq5pF8ZBIe0itGv4OKE7rjpD/viw9IL6
7dxM5q6VZnkn3AyejJGCwjDb7tlO+Ne0JEiPUsij6RHzcXAu9iifl57t7GuDOrj5WJ1an5erPDHH
y1jgEIujUgc5yO2rkwD7hjbIKSE3ErpqRlLepQzJYtaeyWvKRliUBen0o9SVHjag7FCn6TqHhtF+
zRc5PSAoXq8COfFXWZk6iJrukLHwjYNZE9dJuW12TTo3WqpPkR3wXVy7CMIhyGrqqSVLccJ+7YdR
5uqgctO+SW3eRMJ4Zmg3QsU1ZY4ag8OR51piP+pV2NQt0E2KeMD9qgFelCR3Ls4oz4QS61UzZ+qT
SavqgGkRmK9Olnu82IfveuEa9zmGijHpNF61Gs+2T3mPxbg96m2JVg2etqrj26+QhHDKWHkTNnXT
g22w/jsGwL5UqZecq778MkOtP2d5V9+k/gvGy/oU5lpNaaRPavOU9c5XHQXwowkW5iE1WZtbYpLj
WIUmwLarr3biTT8GG2sXoPssys0Sc8l4Ua6nDXsK9uJG1JZ9EwyzczOqxLhv8l58GR23/QoWitVK
zXLfmUn71YLVclFAPP24+MrHLLTAdxOHi/YpxZqSQVpLaTQggjJ+/XJ+xibAXUK7W5RohnjJi/UK
HWT/WSB0uVPYutHeoGkfGYMBx7Eq4PfPen4cWtMj106W/ACHsHtGtqPzmupy9GD3+PLRoN5+CZMT
zyjXtOT14IJOND8jbzRK98vU4vzynHej/SWHeVSmx8laGxoTw6o1OzpF83il5Jw4Z0xpRvsO6iH8
O7zRPhlgN6PWHbMmNHAdi6Vc3T3r0MEyG9lrE7bLwNE0NtdjG5gh7K3gbGvl7aD32odWr+40Z7y2
a1HvoTM5H1ZMc0OHSt5156QfEyfBNYEaMFlfekzNNTvVZvmpZzRgN1Yo+EdbfaM+Mu7safyOO1V9
0pr0WY12dspWFNeNMYrLtp7mXeVMS4QEafhu0A/YpXl/sQwy2TPPb8DDJAY1VAd52HNSxoTS/Npe
bWyXAzGpqAPU5xb+WSuFjPNKNmsogkSemGyDA6At+KHrqRPWeYnqr66ql1Ssg4+6tfHAFtsqCuzm
TjVevjNrLbgo4ONeIYKdYUKxYYEqGhe5ggQxBuT4K8LVyDQm/aQ32nSsPZogYrD8XTtrZiQsn23Z
bBBhnT6TqdX6xezkwXFMjY9WnQSU9L3+0mgCq9qZPPvnXsyzGzkIP5gNXnmHtPYp1APL8/auMX9t
IHRfjj1O7Y2pj0xJBwY6xMCFwJe4MlZJ/2y183hInZQ7jwvc38Nqm8LMZHS6aFx5xwCEERpD2e+Z
i8zwjSqx8Qr85avvTIxQW3RjmmWD91Rl+QUOUOtREnfVIcgnfMaZGfHjwPGZ35psiwjRQm1NCru3
R8fyTij5TD1WHCLgRkth9qFgX13ZVY9/1JpAlqWZemIqqY+tLGNX9TuMdWXYIGkK1WA4Z7wMl08r
plN05SBZIfM+zlVsTVp7Njp3fRKV7qBnq9d7UYgW4GUfHJfVCU71mKjbvLTWeEpGeS5rYUeuWcFT
cssprOa03PW2ZX/wekScbbLN9aQdrEFd+HupTaiYwXSHM9aJsR1YxaPn0uv0dTXv7UTBPQsmbS/h
BNO1o6JoaNzluT6f8txarJDZ5DjVUgzj/NQ4VDkr3rXa7ORPS7IL5sS+atHW4YuDX1m9GZcZclVn
9epmZr86m8nN5MxO5TWAD+8yWCBLRPa8uaFVTGYyBpeVm+eWcRLomWWUZ253UW1mauOrr5rnbB5r
5ma3lr06r+HNpP8QsLqq2Gbyb4n1Qp9Oq5RBJGqtO2DL4eAzMuY5Uiv83+whpQRgFa5+ZfT2hMbd
aIzU+QJtS4dJVPZA6tqGOS9twYhysyT61hZGGw3VvMUFQn4AalXFLkPg7Q4Cbn6hYUxVhrD/Co/l
V2cnCBXdZSB7nKvwisTXa26dHASgn/RRkbfOjTKT/IiJqPhmCryRo06ocns3GP9uIVJRWNxDTC4B
BO+by8BMHA5nMXz382TGnWpGpIKZXc+Fw3y9ekGpgt200pI7ga6XPVASJniJTgs6dTa74YzirsyE
c7MCeL3TWiH4urmV7ccyp0aQorWOaoK8LLbdBbsfMaIfzzZLOmPldgY8IM9/Bl8yN417cIz9d3z+
Cj82nYzvZ1CRokWmlLkjDHU/LqUkLNsCRtCxk13GRWZWJ6SxzWUFW/Vo6/0c1+3MYdwVlGZqQaMp
zpyey52iunbXpMH4kGN/dpPWRBoN1bjrdH39KQL5aGkbODiRcjuU11q9UKHxw5z+ZIW7tTRuOQab
7xbGkIDwUnfi1p44KvEtSzZLQS61XqhDZmj4Z+WYWoeG1Pwm0utOHdLapVk+FXx/zJvidCOutQRb
X5jkrqNebeEvfJ4v3rBUJ7PnKyCdYrSxXtSLr0ROrSNpd02RBxjezzCjFWICM2yxOTqVZiDfmSf6
pYC25RAGY2ebOy/ckrf1us4MyjZNtYFGlinPCSLJLRz2mkgWsoN5vYX3lvTjiRfztVcdWMa54WGP
g/NeQmO8bXVtP8v2k+ARjKH5L7ytscVdF5/q4WjnRP4RkB/nxnMHc5figXhGwqBTYubJUvaiCJEC
Nih6B5Tn0H5Nk4aF2Vjy3FuTumhmIR/H0bZv4K4vn2Yi7v0/Z1+/KAG3H3ajHTFVw/zjL5wu9FGl
N2lWf9RySw+nvnE/KsFG040iu9FGVh1XEQvMmFjx4LjhenBPnUuKek+FIG72wF2/U3x9VTz+vaSP
fMVBzYyCGjX1b9ykAPOZQQ5Rq64taUVMBW3UuVFerrM2HbpuzGKO5nWnkHJl+LQSQRWC5NXLtm3K
TOVdMdvyDLQEk47Eab+LvPI++G4KTnDA6iDROgQncnDem3+kXPumksu0KkOW22Q5HPFtPOPn6puD
REZUCgzRAl4xUl4uip2sA7Vv1cLplMM+CPD8eplMhRueb6V7zTCfwKB8hn5tMc5BuKQ5cxqPsC+u
ps60v0wCdC2tjPJC12vrq8k09QKsSTTTBZRY/5Rgvhbrdg5FfWFD1xwl9MiwM9ANHCK7pSZererg
kgBy3TeLpS6YEJvjTkJIaLcThsqzdjelnftRczz1UvupDrKtsW0ttHrOWJhrxL1zW53GkQMsS1pi
dpJl8pK05Det9rZCOojvUCS3WH1pVvkBL7PtTAFkiSCGgD6oES7aeo7U1CrFzlwScV0yxHZZjJIY
1KDkALV8ekhXLYVj4pgVUgE8os9DtXrTpUzmlIeU5ylXUj8sOyelXxCNAudlCKlWMQIFxjpD6+14
K6WbD22CJUIv8c4+ee5apaeSkCZO1u0XEgL6JNZ7FFtRkjNSPTF5ilE1MwQ9fE4L90N7Jqbv9Kxo
4iTJ+MZpE2DDySGMy8BCKO8tAOY1RZBPOq3DDSMR6X27/6wD942guDpR72jwp+tAMBXfkbj5mS2+
qWIs910+5IdxIrrSy5kVuQ4kFFnjjg9DXn31MAaP1sUQX/y5QiHRqXwiqeTZBRss9LyuPHwuHe0O
cqp1Mrg4PpTWlB8SJqabyHeG6jQ4fvuEP3L7ZCuD2NCsTDNk25Z7C//mWzJR/1JJHTzyTNLvVk3/
uanJZRZ4sThncxoNW27XZEEVZfUwzXRSq2UKgWyNe2NN6xOsc7KWxrNCYifvQ21144NujObObMz2
yempdoO4UhfCIHuOu2blBhhao/9sFhSUpKwE9dccvU1ic5oMSePHlj+QGSW2DbKydVb2SK+PuMYs
Bv9x0Ff53G4u1369ViH0f3yPc3s9Mqkiz1JIqnImkvVwCbYrNKPDsXeURwGoNuUjsAH/0pgps2DH
EVymhujOOdqHSzflwaHqVwesX52o9ZvpgWED0vtZ5Qd/qwAxCyCu65L6kJeTJiP7X198dum6y/1V
fCnd+nZaPPFtGAfSbd1Jb4zGBhg9Z8yA2PyljbYFzttPvdgBRSyfEc0Og8HtHVhzdTK2rbps57te
lnMsKJZ8deSCqU+HqWNYoIrfjVNOZWRLXtEzkcBniy0/6E3Hm2kLQpHXu1g0KSZs1HqQkTG3mW1B
L3UdCwgshVW+XeWpizXFQmGZqK69LkOEawQSaYO/xzJq6spOqXhYvZIfXis+jcXygfZURS6c9hBo
fXUCzZ4fK5uAisq9fzkmWLK/lge0VOMxAD7wIgqOPPqtkLfm+FSUgoLQnGUvnb+qq5Xt1kSLSglG
5s0gx0+pXuliKe+kYMgQtVlJRwhuDrPiGBLIEYY79HhecTrr1WnBtyNkMgZr9HRlCzK2RAkOhQXl
v1J3IjFq7S4oWIJYRRjzrsGRJYJ1ickLfpofCXj0busl9p9RVVMRBJEvH1fLplDmDLN8BsZp7np9
UJ8a4NJhYnbVSduKK0hpONbI6JPza6UGZqC+SQuaLmrWnL+ppsOylytHnGXw8a/1m9dLcsHDkeIK
vvSYk//Q9XULlz2N11fVBEuyZ4Txz6WZU7oUNqWhpjWSO92omkvRmmUsHQzn/aGXj61BDc3oU2pq
DMg3lzPQlpvJJtOKUh2L7U4z++9txdD6khLsdLoMLmePc7adMx5h5sjuWcepB3BuORoQqWpKOS7h
+VCwp7f1LLvtGAYN1F/gyUtFMsg9Yt6y449ziaqLHFnIfbZVvYlLtluABO2r4bMk7HXsv48yaZ8w
+E1vvFFQNuq29QMeHN43dcjK5eskW/XrNbz1Ayqk8NTLu3qeqCLZXJMuWqL717vBGCgBj36a3eBx
vdWdKKJOmmPfeK+6xGAO/EsZEIZIVZr3c4e+LKhxEsERvTrZpMNR5hbGvXBRGuUjLxLIZXVSld5c
4uTUXDomQSxG9O0uIzz80jNWTN+InmtczwanmZ1OD2omTBYl9Tm9rcx7rW44bDnHHvF/EF+A1CRn
6hdu9FoSnAaKlj4mCue0yWZ6qISfPaeJiEhzyj1GjqyQdiE4GUh2ajY25GaLKij+3k2k9Kn9Wpka
BeqZmrGFMfbRHgicLbCisUlxecdlz+J5PWYXj6dB5UhddK2dfiarVyJUZr3lE/1CFaqzltuOos0n
4RG1a+um26QtycPUOd6yiX1UBha3ljsJcjyLtabpyd0yUy8zq6XOT43tyPMsKoqI21EJEsnc0XUr
b/DKonXn5g5VLxx0LBlwP2SUTNiTHdVpsCfqCjiKcW9Jb/yBb/RyGPjRQ2zF2bh5QBIiqlZ8QyRF
yCH7tToVDZssF3l2g43O12lyeGpoVqyT6WdslankGaD3IBuaZvlIVFLY4bgomPHwuAPiltHJr2ds
X4xwloQTbZsQQapJxdPIC1c+hJrSpKT++q+vG1PVBVeMZozdszNzpwoulVOzDsst3k9qX2cFvca5
ZUPnRJWp53DIoOZPb8AWMcS0Ovl6JdyVjGz2FDZs5ctor627y3oS2NdCsdfDJ8dH6m7eogC1YPge
C3MdDxQS+MZ0OqsCerNvf1m7lO7p1okZKKjsRsfjw8p29M9DghP7a/T/31ble61KRn5otv2/W5XX
Lb4B/xM/le3w9NMwwJ9/8F/tysD9wwF+oSN9I1+BJ0Fr7V/tSuAdtDJdhPgorBBbbZ3Mvzwdgz9Q
bLvbNKoOXItu5r/7lbaDRyRWBfg4/en2aPwn/Urb+7m1xxgA4CnUj+aGnvDRzpk/JyPEMKJ3F8+8
XHXHTtcDUHI1JDFFOebo+iuq4cFO1Chdwsl3CrSzyEC+aKh4qXHmxrGfhHaZMMqwU1Kr90yptfjU
rf1VmyL3Izg/+3L2Ypt65EU7NtpH2fQCQHqqXaCLo1Nn1+5HNFLLJ+rqAzL/ttAOhpCUYftCRm5P
XYC/z9ibUuZNGGAMeSgkeEN+bgqVTkrPPrtyrbo7M1mDXFcmH7CxuVmQx9D1pcVQC+MocQBADumX
kVe5Z8NO4gTraZoV8vvoGHM8FqKPUHhRYbQadZV0abqbB/S9k/6caW4eyqrHpAaA1l7p63pwWklp
GlMTEOfNZ06Ogn5SSdmswlVk6W5wybF3mH8MT6gSLDqVtR8JR0DSrV0+v8ZCiSdlx0PjB0fVj/md
l2YtqgQKWYK8ln6fIuYRYjoyHnDTqUCPZI//Wo07XTgytEeWBMYpoxsep7nmhPNmjDi1VX8uc+8q
M4IkNKz6LqBZtwNidgjq8ShsVDwJtPRQBUSWNhlJbCY63oSFEYEMeHAGauXTsH0JUaJ1H8mpKzWm
Uedo7q7yx291H8TWstRnQXB3IZCmRJYJUXr19hqou72zAnonIdNCoAMeM/juMUiC86BaPfJLU4Q5
mP8H5jPbkOl7Z9e3gnBpXJY9N2gQUnPFWKjNinuvYLKyJ+eKPY8h+n4xnL2Je3PcL7qNXwYiSsdP
D8uIbYu0XHsXGMVXsQj7ggLVSTVJTe5jyXikL41RWHrIrNHbPCbAAVTarizkfdu7D/6yXhbm7OHP
5tp7rQGSauhrdvBE/bQ6xVdKNPahoMCO3828GYIU2lmawQ971eiRTYETsyaAjCyhO7Mk/C4FvlPg
fpIizDS3Nk+ZDtHkG2uEpZdOkd05SbMwvip7NaKyo4ehld9WZS9I3X1M2fNCHZ2G+tkKHS3UKtZC
3hQy9lJhHzOmMnZ2ppZIr/i10ugecfKrcWwHuc+cLLllq+TB8HmDLUNAe7eA9J1YxSekcekVxhn1
3vK/pUGvn8E4ysgRrnbPpCLCr9HFfN6r8vyunko/anoXZzSE/weRB9293lCZYKipvFuZlov7fr3q
h67a+0U570xc7ejqjXUMH9zbNaDASSU1/TZ3u3WnM7a7M3raA1SKzDgbrCJsvcI9GSYmNnnq08ow
0/9l77yW60aydP1EqEDCZALncntDT4qidIOgDOFdwuPp5wPVPSORdaRTfW4n+qIrokrCBpDIXOtf
v6EV7a1zQ+jWxrCi6gOjA54ivsU06gnjBtLDN+4Akch0Yf40bmJ+mAIHVNSgO4fTNu/QIiu4P2hx
9ZwW96lhTzewwMyTaJvBXflSQiGkX4+2svKY1rY59MOsSLf2RL3FT+0uFLAa/6EBISnO9mUqr5DC
fIl7HFqTwsuOfa3CVef1xkYxm7qs5sY9qChDjGCbLyRoI0gGvz5V/WytEtnem158xHJaorhX8crR
7p0Mkno7mDZlpD8iNRiWpERnbFdW7X/t2uwuJt4wEB3aqgIqaBIT1Bob33G8m3bgwWfdqot44L+n
mdgPkhle4RTFjiIXCEE3FdOevllFOA/jnx0/12U4rEJvvm9KazyonujnLFXGavC6dg05YCKZobRo
u2uWVCj15WSpXZdbzz6QCA1osuShNO59YBGIlCt/2zHsRN2W7Okrv/dNNpDGNAVXLh61ezMT4hQw
I9olmdVvcb1tmN+k1Wbwc+8Q2eY1VfFnKZsLokiTY+OOj97QqJWKZbuGkiaPHS3rA2EeH7OA5r+q
1HcZDdRzQdyuhzB7sER3Vk6rryrPOsXY2EPhKrNLdMorVJA3WRSAw9iRtwbwfgECNNEJQX93567c
420DsONOQG0kXlwsNuB7Z9TeyrUD/5AlWEzY0WcfKe0D8Cs8k0KcZ4kRDChcvWu9rN+MHlcs5vmh
7p34hvS6i0RwCI1GQHAAU7d1KsJspxGerMzcva9SpgSSMu081c0R83gqwt5GA9N21iqLOF6ivJaf
0LI+EUnbHdSkvpUdeTo0ycwbrBY2YDEaO5p1d63y3r9us/4GdRpzNPR9/PDhsiKzc9268Pzz4K5M
ZgQwRPaSYYowStLAiMj42PmkmNXG+M0m6I29sOuYQc2avSZGLRcEkkiQMT5FPVTF0GCXGzz6ik4z
p/Qyy94DK7q7UA0EcWWVjfVwJfahSj4OfeweZ8N7mNrm3KS1XlVG+GIbxC5lRRbsDMXwzKmk2Lml
8raCoN2TVy0IPwFQqGzKYKelhvfpTbNdfMlkU7QfsIsKGiJXPKPGVmYcjNip1sx5vXJ4bCHZKD7F
WjZJRieQkQR7jR7NH6qViqx0+cjKBAjRPtRWiVMuBm3SCj7Y3VDYjEOnScPBRuRRsnvDr54JdE3R
twXuHTwIJfUncv+KuTgxlWqUv04glyjS7CB+GhENSaVnrX/g2P9bXv+pvKaahIT3fy+vL5+b5vlr
1DXf27b5pb7+8Sf/HZnu/wWfX+II4Lo2coWfI9Ptv1wSBXCs82CtOchn/6e+tl5Jf3joE47u4Ibz
U30t/rLsxQiGGZGkyacq///JTOcKUOjhbAO78OveVNe+PZF6VRnVwYuzlwgkfU9sVLCKPay0fno6
f0MEfE/pFQrdFGTepZp/V8dnnAPOggYfPAvOPTFtn6uiHFdDEHV/oBz+3ZW4ho+QmAGM4y3//if5
WdgawayrtCJyIu3WQWdeN32ODK+eH//xLTGnIxbC5XIm1/r1Qj26d+rUuaJCTl/SLH0JjPgl4f//
k8sszY/ijb97R/iv4+PujhUjH9Shvgd3rwGsQX8I8/ifX0oKZBWIK2CovlXuhZWZOyQXVuTb5/pi
NGE7YyEHxFokf7gpesfq5/EY0fDIu5bQGbpFlIJvnp3qcyhqbIwHDtAU2tt0N4XjI6GXj1WPYOz3
t/V2mvl6MRvZJVbozAffencbwi35NsvqwCSfGTpIzSHx0EOWRvxsLirf2NH2SkxkUv/+wn+zFJFB
LmEerxYlbz8vTg+GTZADDkz2yvuO5KyV65NjSwaF/Yfva3lg7x4oE0d2BZSJfNW/Lsa5S7oJg/kK
N+iaGCFoiNvEMoP7/+CGfrrKMjr86dtaCMy9AWfuYPgj+cp6fOxzZAKF/s8e3U9XerMzDRQnJXxT
FkjWTRs5Js9zCcT+//B5me/fEm6ynsfKUL5DLsCyVn+6qTLIXS8vqxx/C6vcVOaiWp0QGN3MTj5t
fVitG+Frsashdh9MjRQkyWwfqNApTtCOsVMcgPeJhUcRouG5fX1laagksI+ol1DZqfRlApc4hrPo
LyuFak9Tm8uV5TPCLSv+kykK8i1TNIs+B62kGuv8dtK+9TFV6OjdIAk+9zn435AjOg8U2vVyImN4
SFjPdFck0zdTB3+UmTYEgRrotm0xhe7SrNhiu1LcE8XqnJA1Dl/rgF1etJLfTqjl7ZQ45Xnwmj5Z
R8qLSvwJMvMLnZWB1S2/xwC2eM4DbjrtEXyXflhdw5MrN60LGZuxYRAkK9FlPjlcduvvJVG5u9qE
bJbUEFYMjY4lN7m7V91JTpDbGu6vBT+ZzSUKYzJMCS5cF0wilxappBtFz3RyclBarFTLszBxOPAA
FvZ4QBgAJDithVHvnseQljr0yuxRDgxs68auPtUytz4G3DsV18DoscqdbuY39QEO7KpCfWHbE9/6
KB3GRQajksdmICkcTDu/NYy4/RzwaEhIratr2SUvpuCddiQFfsy9+GVshuAerVx5HJatMWqa8jwh
gWcUCpob8m37WXSTxHK8I5HFObKjI33u4aP2IYJKyoB4SXfvilMcElyzcjpogKFd+deJxPVBGr64
EiXeRLLLMOuzjAEyzOuyz5rQOREG711EkkeWxjwEXCGT9Uy7vc7rKnzwZoIzydOK088+Mb6rvEas
Ruh9AoOWwN6ZDGcts30MCa+6FIxt/Y2Mgv4pCirD38IHbOiqyzRGCchA7oLgs/mjB370AHkqf7FU
VJ64x2lLMmiAn4NXH5xE+I8lsVcPdlGyfkjrc1HBwT5P8ROOehrkkZm9RjKKZ6HFK2iDMXVXo1WF
5Qr4ycAtV/qPDXKiTeWYMy4LDkfcTD4xw4RqSbLMhip6xFk67PedVyTP/mAZO7/gOyLJhT4+9vts
3/TBCCzt908zvfXerehUd4OhrXiHpM+dtzPceERPTTh0Kzmm4svsV803a+bbcgx4dZtscJsPvWrR
GCeOe1ZTxh7KnNldadgQJ7QeiJycITbWIuVNuFGYfq5DqziNQVjAT0AYm+rkBXzfhxYv7RM/ROzI
hp82xtQA90ewg69IKYeDGWZLZC1vqLM5+kgpYjbtMeByIz+4T3pNjm1UjdH3ovLdQ5FKxtUykvOF
I7qnqpn6PZ6chD/7HQthRtv36pLRwPKniSIntxHZngjq722n1SZqxvuitmDv9l+6aEK8WkimsEEl
zxyF6jbqqCbgco5bJnT9Zd9qfwssWO0wUw5WVqXSj56o5jNK710+M/4KZzSga5xAaILg4MUru81Y
1OyK402UwdkuusS/tikqYcHx1addxtSir5AJN8m0nTW7Wz60PSAQ527lcN9WnjzHjeFdezgpP2cj
Aed23wpM0waGdU5gn8aOFUVaTvC584GszMWNpMfKlVZp5jPKvZreE2Xe18bQmV6FDXtO5KTerZBo
uB0ze3ZdNkqt2T+Icle3c0zSvaX1tAlUzazZtTvvlqRqzXCdBDoS/liGna/rfWZiwJBMCZuY1ZUb
OXBpzdz7EBO+ucYyZ/ga4ZVZFVlBXm5Dwi/hHlsdZ9c2ziy7aLA9XkJeXTf1UleXVnnOBHYkGwY7
HaYSwsHAk6cTBwBIuWSO+brrogH51Kae+G4O7FZ05dnaxaflKg3a+Cpxx3DXT5hNqoFKYmUYrXuV
hO6ugce0JlvVWrv2zI7YluO6n2X5Aba+fz0r4IfRVCCrRjMQqdCyc2em1mC4snjo8cZAdlgUp2Du
8tumY+8xQnaPweejT/ucZ+6X3c5O8BUNiz6+sgPL/OKLrj0zyaQeLbtrL22yA9Bcv08iVPu5HxqX
rY6v7djun4wkaa6nMWovg2T+GJv2ADsclYc3kd0C3ugeZj+eYWvU+TVZiMFNln5SNZnS8BtfynAJ
XmvjD3zPj7o3w4NF3MY2CvN63Zo2brUTFGOORUBX6Xwx3LJbWYpDb7FiOxpxlD2S5kzvjM7+0cw9
9ACmqBYzdGaaPzZZnGBwreMd7Oi9hlXK2GHNuV2sCWUbuwM2fY7ewyVZWTAd0A03PqjMlGVsZglN
Xs0SSfx8jfglPRZDbfoEdtPyFyl5hpsJDFCvACjiHJ5h3Zqwn4c6X1W59aHJrfw01HZ+KlVrMn6A
Jwbzq+k2ncAmMGPKPJZKnqfBGvOZwyfT7H+IXoM7BKjwoMw0IR/difs8Og0JGtQRQXjQeydY67iC
BLKzlb2mFseTbTWTt/XSTEnkrbw+zb9XLjx2EYcKvauq0PJMPkJTu3ZN5vkj+/rkLY5f6xal6U0h
gRh14pBkD1EoTPDSi7QDMbETPaRKrFa81Ewh7I/Z/ZDYI3IdIZnjUlzDJa4W85Zi8T2KK/OL43WH
Kkng5042ZAkXlzRrcXxh4+hv0Xkal8JG9bhpVU6moIOPAd+pZYOhMHTpMq89WDXZDWMdPKeRm24V
JsLbV41FqWrxlLfWeNVxRkO9CbW5KRyrQ6md2fMVn2v4NcwUhOp00YBmagROyQzjGI+u6YFX5uxv
jmT7dkKqE7olZ1gNZM+6wH6RPqQQjqBCTW6//32B/cry/KWOX7RsHiW878JoJJXn12K0mefQ6Roz
OzD4Zb+xhh5DiM5UYPfUCS2l5dWEKyqKkpm6IvVR4vLBu+fWziF/C/9Pjdo7S8Mf2rolOo3gnnfx
Lyq0Qr4Bfo/OxWNnMqJP2VMHhVlR1t0FE8fc75/Au87QXxyTLa4kqMcxuXvzAJzezUMm9Ye+pggr
AvTyuEeS/FpE5dlwCH3//fXeO9AuF1TuYl+J38k7P/1CU+BggkPyCKNAY8l8LzdxU/TVJtH5c0uI
4DZtsMOWrjfcvB47AwM/uY8sXJiQ0xjrgAR73Kvqfj82/9bifh3/T/i9/Bvg5L2tIr8PB3dEDous
9F1TXpEbRuBslx6iPHdOXd/kL6VNrPZqaLGrypEuU2xnWcaHFCWiveoltabA3ui6EhTaqJSeKWWK
k2dBHp4sOs8mrlDfMTlzz46FRq/QiYYwgydU29fQcVoIp4dwSdSygWrLraPy4J6cReeZSRasdNys
+r1nCHWLNIkDOJhGXNDjOPn8eioWBSms62FOUT3/4V29M4hbngUVJcNn6aLZeLM4wg7xF6dXemix
eF+5RlOu2hFXV1TuT3VMdDbUVXQgkNR34K7uOtT/OKfGxxLHs9CT8UpYpm9+AS7pg8S2NT749Nt7
1wjLM3PLP20D7xALrgJQQbQZM3nsd960pF3c9YFkynOQDsWzJLKGXCLGEMz26DNkWtqrKaF5gGDW
P/3+GVvvnzElCmQAb4mYwGblzbUnkTq9zgaMl5shDGDIIUEwgsD/nHeUxk05uNO1b7j+Y+FMj6k/
1S9G5TLFnXo3XLcl1h/LfovTV511ng1jvKKcdFJ9oP72LxIUGd8wpwraoxGQWfEDcflfvPpPeLUQ
Pi/qN3h1/JUQkufiF6j6xx/6F1TtWX+hnWbPRZmOLSyhMv9NBfHNvxykuD5BhgtXxJGwNP5NBfH+
IqQD7bOEK24CJPMr/scZUvpLdNgCXfLRkGf7D6Dqt5E3IFskcS9kEFxf8Kh8a69ajwZzlqwR5wJe
YVuv+zCPx4N2AQrgNhd4o5fRlJcXSSqMgZKXoDK45FEFR9Kv3GcV94UlEHoR44MTYyJnMgLJvnOS
c2jh+rBCacK3Bf8DmfZPT/pvtvDli/npTMfPhx9M+DVUegxb2TZ+PdK8phuYGM76DKNhvBMRNnwu
ZdrF1CsTntdEZ/z7C3Iwv7skcYXLmQ2uL3mbb/BVyA52ZXRleJbSvyhbZSRr3CE5tRIHxRYa49qo
D0KbyIcGXH7Gdef0CqcWycazc8NIlMdAIU9fzT0hi5hTBeAoVovlhFfESDzLoqPhW+iTmSXaee8E
RXlOmiX8EUyHM0KkgZarWtf5vHYJNoYyOBQ8a0P24102cxRZYnaf26Iqm1VSe1zKB44It1oFS9Ph
Er6+GqQBKiF5IxTXbdN1O+zYp8tJIhDXqLhrNn6OXm1TCk2O4ZM82VbiSnvgGGsVxhM0mdgfwi2g
znhjRk6GfjQKrQcBW3jGvqfh3hqNJsiAtXATSuZ5wBOxN24xyq4+Wf2QznAwrTq6HqOcX+RPrn2k
6InGDxrHAdIYagNViZVEosFxmInEFTkdythJNcnqyYKbGZ1a3bD+wiabgdMUJmezLqwHAmmt8WPl
idH4bFstTy5uyGNlJl2O5VFXqO/XPWm/8zqQCCzoHZb5eNWl/Dorwc5lPc41nH7DTJJo4cKDKJa6
WKRfSCKxH0kL9zlhC3/sJnqevtP8cSjGNFQ1MWQkI/BXm03NQ4onh7cgHUZdTxGi8+rgzGaeb3mO
drd2Y5vHEhsZOMboIj65n+aS19ovSchnnNGz6DQvr0QtD8fH0Ib3V9nl2a8NsJU4aw21nvt+uIxw
lLs1PBMNJwDZeFgEVx4s+lgQwaYnPsIMtTANBolDalP2VrZFKh1uMrcWi1RwnB4QIbVXnD70ZnkS
QFDHAxOtc9K6l9MUykejV+Jq6KvsxrbT8NnCQvQAcOx469gq1HMRpv3HyjaTEf4/SzYaEDDhZ9p6
6yhZavo8C9LpZI3SRZ5RKv/RIBylvbXi2ZAbt1csm14rHu8Q51Jfm+3oYrXthkaBNXxX22JGveNF
M4Z5rEjrK4gt7y62KRJepmTqqk/8Y568VOMw3sW5CcQhF5vUMmSNNNBhuzWds3jA9oHXk6VGjalZ
MPBu0VhkwKgKIzyeDB+XSgo+yhRXqmDXmEbVPDWBO95BqeNDMJg2j4fYwhRtn0IrPbuIm6tVMDb0
+30CZpkE1njD8KI+4HY6jRd20fHoFU66+RaQLJkJkWuABnHu4Lkof9HcdS79RhGlln5I59kwHo1O
zfVFa2lD30wjstEdTAm23zmnjfwQO2ae3gV9gpYIBWcNGGrbx7lfish5ynmW9JQ8y9EcKDt9f/G6
YwalD0HmYaPhsKtEp6rG+WP9upBT7OjGXYnsVW9kv3wUrYZHvBoHFDRs5qX1EHcGpghMnyL5NEIJ
s66TAK433HyRll+VPYirSHoUj16Wc00jDROYJ0Gok89aaPQ5K7dDw20HXpt+1OwQIkL1Prv6usyL
QnrUNkbgb1UGpWWL0xN/k8lyOjW14p23mRZXSTvb40evC+r0u6sKywKDmuow2OZmb1nXOefPXEPy
RWJzDArLy6EclNI0j5FlgxG4YsH3DeKMcFmYoXvDQboqcB1/cvsuAMYV96oPx2Et8rL7gE8GdLG2
iTYsjGZtd2F0tDM/wAIDx7dVHmM1JmwxuZtI5e4B5EcuMUJJbcTA6LSaOwcAoIDzVE1BwSZTHqvK
Mx8b7PTWdm5+NoB6Vm0BVzud4PzE0TB6B5Fa4ZesCdT3MbQDVPC6gP0hL7pB19M2zfR4K0sVfnbt
vtjmHFIbyj77jqFb8Vk40LyswgRuUjOOymar9I2PIRV0iJTuxJrT7DKuwuyDlUC/8c2m3c1GCwTQ
j+O60ChWGDpV13025xcuCMe2Q9hxy7aOgazfRfe9k90MyhyTva4bZ1dP9QhVqSz2fVzG92Ejsw+E
3zXhTrcFmlwOsE2W1vMpM/x0h8VLvOrroVh0H6A3cW+XDxw61VPh5lW0Seam2HmxWX6MpFwebY5Y
x5NuV6yl6vCxlaO9CkFiNmGgmpdYK73JkD8erCUbcUDAdOWGjXI2cCOLCaUt5cCm0VYPIJuXey+r
p2XKZZdHFY3WLnTFbRKU1d7E1n6juccn9AugT1hGyGNB/9Vvp1x1VxABg3u/iuTeaOZ05+IJuSaK
e/bw1JcQxaK2xlHYnQ6EyUzHwRA+wRCQ46ZG63WL2mxdd1OCPKWRD33cz99MOHxn3/MhdRXaz/4w
kn0DK1ASkQrI/157fJve+9eSqC5z20sy1AVjC+0Ur11g3cHmEHIMIGF03+U54Cs//L4uejMkfb3q
4piP85EgmPvtPBZPxUhFg+ufahj7nzAEYWOoWosa4/fXeTNRfL0O+lkSRqn2FtbDr3fXR6XsGj8M
Tg44OXuqqdmzF9GXOwZsGP/8YsvIl8cpYIa8tecXfMNGSBF48jJQ63IR57zyA4y487e/v9T7QhaM
BN0YtbhJ1sTbQXod+qoyRlOecGYWV8Ui+nAJlAEJxD20wcb8D6vkb64n6EMEy8SUOCW9GWoLD65q
keXuacZ5+fHHEVREJieGWyxTlSaeeLy/v8c3rTfvjpsjyWSxk+LlvS3Wpzx0Wl+3zglJFdWVMkyK
HzZUTuBiBFUFFuRPrY28559NMO3xHy9SBoEuz9kkBshyzTc3XRZObY4ZotGui/VhGNCNjGL4U/bx
+0+Bq+DrC68URIXO5NclmgXWUARxI08hyqTDFKMFUh6+n79/mH93FRpKD2Ne4Ix3eI1sbat2De7l
lXkhcVJdo+/6D5YJXqC2aXt0O7Sbb55YWjMdrnBjOFkBajXSRFgU/YTPF/RBBkltNfbzH1q69/sX
ezp7GLflLEE7bx5fEffBBDnWORlYVz4JlF2MZ3tKkY70sW2BoM5a4d3HEvn9A32/sxD6AWWGYHhC
Vd99ET5wvzlXroW5FV93UC7u9nJxWE6QMP7+Un9ziywOqE3U4ATsvN0sFQxULpVbyK8WwU8uyvPc
MCHNnAUAXzq4cVk1v7/o390feV8exDYXiO+t3KOHYWtHvhQnfNDBfHNYE5npRXsanT9+6a8o2q99
OSp95ToOshPlvf/SlrGryX7CtLZBsZWI3MXOU5nZHRRpfVXil8XwZKJMHgfqOmZ/U3PV1xik7AAh
HZqLkoElEt5vJGnZVJ1zwfzfS2X1p+jj9xshWhvyMOBLwWASb6lmBTalMa4grPAcCHsdB2j8ktHg
vCS1mqWW+JT1v38T4v23C8mQr2qBIuG5vcUBwwy8JOCMOxmeQa07ejb9Q4tlyjdPw5dfR1WwrHc4
4Fd1l9Wf0LnNYmPH/nhXN1ad7euwm+sdVRJCMOTb0T8+HBgOwJyEp4ZBMzqkX3cws8aSrvf46vPZ
o+g2kUOIkGF9Q5J4jHDO/BOM825tQipcvgagHJYo3ku/XrCOm6Xon+ZT7wTOc4NEPllNdcEyHRc8
/feP/+8uBm5kA3Rjpf9ubcLm8Anb9SeEEIzWkwJzLaT+dDmuWdEl/f5i7141d+aRe41uaznx3top
56khqiYwp5OEriwpX1tWFh8iXeLvL2Qt46tfPjnocJAlORG4OQku9uszxJk/HmWlBioIHTU3Jj1c
tza8piWTk2jD5lwlPUiIE6ISjoaIwV9WKVuDJS/HYFmPd1GcghMYA80S80aU67NihG0aEigL1Mve
mdmCfgx1SnM8ML26aQucjPJ/uhHLJdeduQznGuTPt6VQjDNxpfKmOVl4Gm8GhkZnpPLxPjSnf1x1
caklToFRAJDeuwEVHitW24/ohzV0YjS5Cfdfl7W/NaxxMW0f/4gfLqfXT28JzJ/90FqCrDwBAfnt
Wyrm3Ba1dp2TrEfnu5RWf9JO4D++AiJSNaA69Zy5H8pxtP5wAFhvl4izkDQha9pceRl6ufavS8TJ
4DhAtUlORIqk+YwLlCdJ8Z0wobGtNYmM3hfcQlJn05fMm6/8EDZGYeswJpcBYRXu88l0Z3Y5KOKc
LnhNrdXSWHSaf36V4eochj52UiK+Ue1kFPxNQ0xCAZQkJtWpZ5e3btJAM1iWF2FDVA9Tq0V16vUi
GkG+PN64wwg01gTMj88pwBEUjroPl+AxptCXrmmkemOKNL8dQBuutGwNNCmxvCknrH33pSqYL/ct
Rm+mwn/sAljaLNaNcjt/FTm6umhTB5s2lRGuvEE0NdNAz/EJ4wyxRlXvdnheiAgNwqqrY7cF+zZ7
PP/sOVlY1ZlIAI+6SmTi26C9FFDcSPhe/LFawFDctqKbnuijcKtIvSmPBLsAevvaJ19T9ildUVHP
/Nu5Vv8qPvs0AHnxs6WuqSu+tajAJv4FtByHNXQlC7V10qOfHkPPGO+qcc6jG4hKWXmRhnXf3jbw
f/INjCK+7lLkVXpXzjBaNrprRb1jIjzepShKL0Ipy/QOHkLzbWQMPoPwJu783cau3bnUtVigqCHj
NeMfwR/k1t1nFx+k+b6C2Myo1kqci35xDgPRQKW1i9M2HXeywuRkAw4CcoWnM0C4l0/S3sJf5G9E
XBZAChvs4liPSWfckxHDpet05tTyTZgD9SrK7Ma6Lobebe8Egotmk7Jcohv6VcSKYlL4ecEgdI59
rxuVbrq2N9ZzVeBDIS22cHcOWUFF0dNIWIqopwunD8RwjHCOCDhXBYyaUmdgWl7VNfN+RPdmrRjP
gjJCABj1gyhwocfMw2WBESsorSsj1pwNr3UAmD2rD1cMoIZIMoU74fCET04AEOKh5JrK8cVv5+AG
zxuYra8QnJt1/Bg7GsWDk1jucxxEUbBtugZe9o/PCnnK4kLF3jsoDGafCyLuNeD8JB7EKCKmoJyK
WGq3cCvWWrqsotqTC98tc3muVrNg5nbSdF8gJ+OtPsKNvPkxmhGe8xy49lJIhA61nVcqiKYiWZBY
DTy/qoi5P+BPAwL/evwp2QEyRmBX6sJVzCNWqRmP5HrBOGnOUI34TPPKYNKQTQ4P1sHd2N4lvhXG
t01R80OECXayqzKLCIxZ1OPnblS2gdOectP0zisxBb90x0w8yCQpnHWHt+303TOYZGzhi1vO7SQq
UOBooja2+f4GlXMeMwaIylUEXMFacZjmwAx1Wlt9pDBPW6bUusUzbJXFSJGTVRDA21izhZMGlekG
tH7KACUxlyhmD0gCwtspN80RqA2EvPUAyOaOTIcfJ/7/zkn/OCflyP6pZnnv8B3DCOIo+HVO+vqH
/j0nRfy+ZE+A74BNULf9Sy/vu38pcj9/DDr/ezxq/gVlYzGHhjOGr/dy8X+NR22JiJ4qkswPpIwU
YM4/GY+iJvr10OawRiNP20SXDRQETenXc1MLCeO6DpnFuCbaTXhpkpwFB5h/WlXS6T+ZBIMxOnHL
u7iaiquZXM1V7TGCWBd+l2yFis37pE3naautMb2OvBYVmjTAhn2l96Mf2ydYlmIFNRuZsuvREeBK
6TuYHzHygsPuRuc+G8oLM/SFWpVWdgFXKr1Rpe3tc9OP9oFC6k20nNMSHWNgiIYUez/HkT6mlI2X
XTMFmxm1iwGOzYmLYw9+VphAD59TzPzSzQhQv7ax84NAa7VEGpSoChEbkrdnDOOxM7+k6Vw+qzTz
LufUDl5DbNot/wGDwF6OuzQY5fUQjMjshPQJCF+MwI4LOe2Qasv4OpS6flFIiq9tFLVHpAH6ezha
QY19VCVu4qjqFpsTTRCMM5ySVJkce2kyYc2dWN8TExl54jI5wWjEhpjJQOoqNIvw3FSz8bWQ0FFW
kA7ZuNGhH6e4fuqR2eL0tgxpSO/5EFVte+/7LeZBWH3rL8v060kbaUr6oOtMKwmXrlvNhU/j5RW0
xhQ4K8uM9TFy/VSRbSD0c83J3q0tZ/goLWnxkIvsSxa37cGf45bQiTj+OptddhGb+tqYQ/eU6rY6
6WCez5hOk6DrqmanMJRGeSvjCXbv1Fma9xmmT35M1AljxrrjbyP1eGc1dnaehAqQPuSSGx39hLzf
oLsQsWtge2lGexh62QO4VvQxbeMoxda6sgmAxwN7i0N5IjZ0tibeCJadMu5g7R1r7XSXnePPCL9L
00aPIZhLR/MCxYWT2ayHpog22WxDAWcWOLzEidXpdTUurV+RcXxWSVQg8HbHlVNP6iLU5bzBjAtS
qPbyywo9xIVlUA+s03zA+ad0sJ9BrluFj8grLAm9OnS+1OOAZ0PKgGSvMuLh0GrkS6YyJy3T8nCD
z5a4Yobh34bBFK0Hz9jidYpXz9RvpHav4szvv2Iulh4xA2dYnRhGtOmbDlPpIhrP89zKhhOqLT6g
yg+esJAOjVNQWzWhFYUS3+rBbLpVhDnyXY/pTbDtp1R8av0sKNZ4XXW3oivqz5qibE3MjHhONTFQ
0FXb6a5hJuIdsKkbMJr3iNSMranBktMenVXQYhK06gJhP9q9GZ1rJuNfcAY18UjkAAvXSs/ZgSBK
73NCJMFl6o6TeaS48x/mPi2N9ZSoYLG3yvpsU4VNibVykT9TgvgfdAz51hyqjay0jc5ATt/dSk9o
1oQoi23gBcVTEnaNWGca53ZeVqE/tcohggTb1eroBYQM5kbf5auWgJCLxQV4U7X6FsjBx0sh9tot
OoMaVqp2th71MbRbBNZz3zUbtL/xxon8DmJ8i8NjKdTJNRumz3aUeDwHJ9mXXceOpu1JrTFfNvc9
FmB3FgzmfRmb6bgx/DZwoLxp85NF8vuWmJh61SOawGW5yONkj0ogO4YTFtdkl1GHE8G7JHvEDg9W
5clHaPE13tWitQc2s6A7BiGGsdgmDdXnXk2MOxwa3gP8YMIIXXNqrp1GG19LV8Hqb0TS30z1ZLC5
ED2CRC3x4fo7Tr8zcGX/DFt5+F5n0fBpcgpxaTcxJHt4gN60sl3C/9Z+YNfX0eQH6Qb3JmLUoiFg
sGgg5RFmdR+miPDx5B7OaJsJQmfwhTODOjnVhDd/UWS3Pjawmz6MgyPeCSG1ulPvRzN/CAu32zca
e+fFNauHNsFsi/npVKz9tpdbQOv528xsM9/2Al/n0u6QNJVRD3PB9JLr0URh0J2drJZFu3b0UMUf
sUnMiLZTZCqaT96UytRaRdoWbYtl6NQk18EYGMikEnktEmbLs8j0ncSF/k4KFd6wLY6g1ul87MPh
0cVp4K4G57jrRBP8F3vnsSS5kW3bf3lz0ODQGLwJEDJ1pKysCSwrswpaODTw9W95JNlWLPYlX99x
W7d106giAsL9+Dl7r20EeppFzxNdfCizrUe8oltNF4o0/OxhgmCRmnitPKSQdzo+lTvUO3A84hJk
VZpbHCuBTtSQEraZ3cYs2+x24VwuKemJ/rCTniszAHNleZP5Ol/XybWd6IqEC8OJkVfdN6xAtJ1z
hXTBuV1Bhl3bdkXYUUs844Pltc4xS/PpEW0f9XkyRsl3c9UWIizjodz3mqw5FMIu8GH8Pqw848eY
H/7epBIF+NLae9RQsPUiuX7Nia1HyS619RCLYtll1mKAG+yHrexhmOe9zXo0pGK9NPrVPSZpUmPh
yO4Q6DFuloZ5G0FmsVhkc/BOa3Ssncy4xugW1wDhLKWCH+q7GEXBXl3Px7aexRWwsvbAcuHCu2nJ
4IT2b24NY7JPhb8mH1GP8CKdNRS1rZwRYdl6Dz56dZeTkbfT3l98/ziKoXtuoxr0oLDHA++TAzFi
qNvAbFy/5BYB6+LssuibPgNDFg6mL0+TqZcpfGUT0D0RceCNU4hqsrBuh7yMrlfXn48dGyNHCPKo
YXG963Xqv4vONOrA7mz5hWCE5KtOYC0ofK3Z0+nSAHaNLDU8fiqk1CpMO4RK7+7SMcvvCDqYvjaQ
XjZ5L5xXzPverbFUvHmJWjQZgRnpfp0mrEZtaxj1Q7X4X9CbMPMfEy9pmO3KQYR65RlJyPDaf021
KH+g7dPJO6ft0u5guqhlgtVxcgDOmZD6leHAGds3vqh0iSgIrFvIxs+Vr2k5PbQy3sy+CZTQTBx3
1/iOGyYIFCJih6bTKow6u4SA0pUA2rSEcDzTTt8Mh1c8RFqi29t2gtOFqoS0i9W5FmKex35fx1jL
hgseWYNMLHesEGC9yWh9peydX/Jcq96zcTae/X5wH4WMmwvEO4+ycpdtacry6EroSe6AFcCt53un
WF9ZAH8AEX7LeufVHabhG0NeKghgIyiv7OHV9ck1clyvuCOeYztZpXbFzeEQjIX7WNGK+GGuNgF3
fSPzPMAk4TGTH1L06PXSn0x7AmQzgOOXQdP6cfzoOURMlquxnpKVegfK4WSX2mfz77+np384PRFZ
qQwJ/7PK9OWtS9IqRuX78/np93/s9/MTp6HfsHCq8Q58YbQfHGT+QI4Z1m+Y3KEP/5yOZCnaGH4A
hVSmfXEGJfwhMbV/w2ZKvh0HKyjLgm/3H0hM/9xzhxTA2Q3RM41p5UCgz//nE9SKhH8g2cM5lWOB
vq1K5+HEK9Q7CIxk9/WnC/NvRKF/7rGeP4xkPnYVmBCkPv7ac4/t2QIs2lunBHHJ61m7tEBseiao
jha8Q8HxGjOfefOVeup/8dGsXhhN1HzvL71rLRewcYV1WmkIvlZ+i8rrc17qDsrN6SnJWqe3qsMe
qZr77z/+z8Ms9cthJRiceVGPcON+/XjDTMEQI3E5FSWkZQojpebVe0j1QHPUx80ljMq//8xfusq/
fyiPClJkMOsArv98b6sGJ0nc+MbJRmP3WGG/PRqlw3yKoZv/3EAavrLOOscBhmK3T/qh/3CaLt0X
GnEmoXRwQzSuEothMmRdB19svWEUoKyP7FEXl3gcldhR2XWDrhE0duaiYlb397/jz4f8z5+BKYB5
Omm1pC3+MoPyJg8amZsYVP4az8pAjOxcDDQ4PRBkj+ST15dYbLuPv//UXyF86o4h5WYP8Xgx+P8/
XzxH091stlukSGIki0ZT5kK3Sn4go5Q0xdb53oa6c2O7MFCDBWPjPwwF/vpiom05zyB1n+fm13dl
9P0ql/ksTo5GnzhVL8ziI0CORylu/v6nij9PqM5X2ERuQtwxegL3L5IFwh/6StcHcbLUJFNrEhqK
Yyrog0amSVM6t6y3UacDHutIZENmWbwsWubSiFWm+b//Nv/uh8MxYbWEBENX55en1rBwH2Gm109D
L3lJLDeioW70CAkDQiX9/8VL4rLs8V7yH/cvWbeiyfRUM0fj1HY98QILgHr46AyZBhcFaYnv7wh6
qL5k0+cpJ3xE3MB9mmMOhGjuAwHg6VPgHUs8qttzQ7/PR/9Tf40lnM5whZk2BY5XzdOFn9CH+IcR
4y9T/fMNhDTjon9nq2CC9csrkhUxNP3FFyfIBJT05/Hg+bmZ+7J5PZuAC29i3Vu4gKWHZiqG5wq0
bfHlgcxcetEcAJhfrwhu242I9I6JN8L9v7+1/2YVdE0L8gnzNXT6v8p8tNkYRge8+8lmJgV9TV1m
eN6Ep+nkPUklJP37D1StyZ+mevgAANXAuQCMw2gN2s8vF6bsYyPT86U7ncXZ58lJBMbjLSI7Bm6c
riC7psNEIEojWt5EZyB/mNDxPqSkizQB6EmEsTCo7jKS0PbnkStnQRZO9UycL1HHruFgJsUG340u
dARhelfnqYjh8oPov/yTjolf8OvP4pdwn9ESWgaTy19RMiunWVci9T/BWuOM3ixru8kwPNxKs1j6
QwWQfwozd8x6Mk60wgkRZ0bJzgc+ofzPjOCh2TZ+aGRQ4fSyd3dEyRDDkTgdNTuJMouJAtuOmESa
q4/cN5m0p0Yr457UKKzgwRTT+iTfzGUmhEyBNyPrpmHLFuDQPMrI37G8pjpBzEsuva6k8VR69c2Y
4T3fMDsij7cxCu0LI6T8VtRL8U4gDJJU6gBcnsu6Nny/MflYyAMlSWBBL5r27N/gPOzShLqRNXd0
cGr8AChn0KfVnb6BucupcnRdrXmm/5epSDzXpbUoExUIFecOgaSjHIPSjlto2I6/tKHTG943rDAt
JIiSkfxhndeeeR/1dXs0JKS/Y4Ry58qIB6QgDUksMGL9h2XiHBe6FvELJ/K3hYUduq9siKA0UMKS
MKqGjJCyaMOZZnG08bLJf8ZWy7ab84y4i9Kdk7TmkzKR0HI401VcXCV8u9pGFQ9jOQ0rj9WGEpCF
eERke/+p/VtIikmA6mGp8bqosDj2ZoV7RSJIPrAzi0R46tiEgba5wH2TLbBYa3mlzb4noMHWhGEG
TTp7RytOk5sx9/t3D+ZCHcRGou9pIbQbhO/xDSEW7a71AbhJlKMT5PMvNKTSC2P05g3kVuMbto0a
q4Ts9gwJop2xmvXX0u/sLzXhbIF0muSDB2X+Hg9R1gdrElcbfeD20ILuq30bNyQmCXdEWBiXOtmG
UTXPJIFo2sJorP9AFOiEs53GzaNme2l+OVZel1sMFMlFfnRH+tg+DwBoBHdTutCVALwvzNrhylm2
j45HZcZPBsnBAMw1kQToiRanpBck/OaLBkPb5OvmWYVVXS6lt9N0VfysGArqPOcGkRVWX+oxsgFW
e816kx4jwS2Qu2YJSkiiTzPCY1gVSnFXLgvD8dH1WVfICESTdzaYJJ5gM7UAUjCKFi6CjbbjzjpE
ExVBmtFYhGiPmMKfeLyqsyFCxe7RUoxPg+utfbgujpoaTlAjUx19X194rEblZL+h0fefJwMtVrei
gHUG9HAarcAr1yr9bdkmkhgj3lAvJJCFf/0i7bN038a/6SqPjFLREUlYX4JwNx6lbqu/Cfz8Vc8g
l3bD6EaEEpB8EG+E6Pkz8Tor/VVK4YMEmD9BKB+CGc/m4rQGO3XQI+Om+5qI7IY+LUsM7jom3GSp
XPnqfGzYDpt6iq797rxGUsORFmmzibr0VA5R7WGV9NWl9FucVl038Ifnb1sOA+IjCETzncoFMzBm
pMudPNciObLE9paMPYwe8ShuhpU7MmKcvlxwLD+OYgX3ojQSQ8pxwywyEPXKCpL0qAM2i6oeFwMz
CugBfhSvJJ+UJ2P3gcISsI36o08dRJxRfer5aL+dlceYq8mSKhDjSD+Wr1mOVC2c0265PxcKay4r
1ExZ4bwZKiMy6wpureTLzIaXfVhmoTLCXPwhtdT0G1255Jw60m+6tkDAwGPEvTPUt61qiXi7Q/Zx
9rsw66cIr5UgxhZ580pPlt0cjD6itUjRiz51mGMNW+AouxYFx+/6gHrC9iI1PFPhucAZVKmSr1n/
8Xn4MdWevGQ+ygHEDlYRkisooW40DloEhuBIlErbegNnylyebYcv2Bgz4x+4OVMGllpE3wotQRtS
nV8hEdmIKMa5VWUQO0+/aaeTZ03dR+F33KMGvg9Yze7Dj5WRDmY9axvDM/OYJzjcxCIoDJQGyOFO
32CocI/8nPqSqDkHMusAbhUQJN92/FQOs+P26vG0q0Lc6LHSDeXWoKbZI+Wq5WFHukYQoiWHMok4
AwoHHX6AGwjbLnIxvgzBQ13QWznXrMcG+jyPqUuAgieLbS91/OGGzzNSMO1/S8qJqnRuSCz5XARy
ImjuERZzVYocl7mz4A6ThIJdNo76eDAwXpipt77oBXJGUeMYU2Ieyn15kJHJXU0NuC0FGznXgdiT
S79Ko+ezV4/YDeetVbrzXC+wqn0atGIgOldtSxwwIzieRGvO0Odg1VLPBjX6VrQgQ6lpZdzd+TMi
6KNXqxuUAfPKd0YdyUPZgjUil3ImqZTjaLddnZ6iyPAGaiBjissHxDr2m6nIyoamXHqEirE1zZ54
nMyWi2wajKuYr2R+ESyp37yS2sSLLsU0Y3ThF559oBhRWIHaGsny+cBLMBRiNrw6j2PMETVl6daD
iSPto7KVPeJF47b0qkpbvYn7dK4Yz9vmsuo8UY2SyJlewm9f7QZXv+FpQTYYJRqbgZOMcji2zTj7
m2wSxbpp1dc5p0rkKXpGoEm8r1WCR7sAI3avrwt4bddczd3QEfJC5zRmOUpzXi4Dhxvzuq61zSDh
kae5zmQVaV6EpGYaXYmg3MZGZpN1bt/P7aSSRSYLJYfG7OaNWE+eGv5uPOSMBR4LDDLHXNYq7sQn
LeiihGFQboshMeSD0I2JRyTKudCr2lzS7Lz2zejg6FcKFnlKkVgdyS1ilhjU8kycL8DnWqQO7mNm
sC6ohbWNlXfv/OwylmFbO/tPZjddvqH2ik7n5xMxS7TPaATsx0pa+bU7eDwinj7wQNn5eJHEC2De
zweinErvRwO6eAzLdmwPGuEP22LBcIySCV2Neio+3XS5EYkbx0IyLSRjw8xWrsq809I6dKpK0OK0
K1aiZYWLhSaMJkRrZ0jWUvWDNFJtoZO3cHZaa+KvLRRCKHGEATLMYqbEIycebZQ/00YUMW+WCzTm
Hqw+ikjkJ/PdkNWs9mYqbm2X7igndR7qT/1lP/GqnFdAC7FUuamZY5VhH2lq+0YEEAemO/HaqA2I
MV1sLlPYQIPrgjpumcuCNMdxCPmJb5sNPa+ZKRc+N26W+b5cLI4EDUe1Z39eKPzwSjJ8XEaPp9uw
em2TWe0MFZtaaH0g0QnbYj+MVXIrOgbqx4pl9KY9y79tj444O3/N064LKJ+PvT1QhMRaDtOHgRJB
ObP6va4/3VmD4T4M3lzeojJ8T7RIC3M/6w52gf3ZZbhxSaZw9iM2YUi4hBYGJmS1HHySyQs8sz1m
acOOtKTTGva0PH0qlMV5ZtjPdU4bVrnanlZik4cMzSmKf9K1ZM0AgQnYMW2a7Nq0mHmG7Jr0xaHQ
HyrRVEtYNEShRQTs/fDngnrhLA4jvpMnrO2M3sNv2fX6hVSL/0UWxTQigalRUw0Wk1EDdPFRq7Ec
V/RsMG0V0aQ9kAHN7WkJX6RT5QsuEpQkDM+6PgWgjFhw2rNoVKE1S1XSycRDbxeT31XMUgsHWHGX
54Py2So6mT6vqp8oNNaZ7EW+J80mo6Y+sKKJbzqfN5MoYd1e7bTOv9fUmOwufuNvM7WHC43hG8Ne
nqDzwTDW46q5AFLSsOT1rGk1dKXokn5aC6IcwkSqME1TAwEvnmFLCK1XgDaktY6ZW2rcyn1VY7t5
1ypd2FDGrFZn1/GomGDnddPPchZHhiImaQ/oso1C1ZtNRLZOyYC23EQN7auJKfFrXgBqqZn0vrWS
V6gveHjSSMvxc9g7J1Yr87oyqQg52yUHYsrS79booDMDLscb12voIO2cRKIzH9GB7nU5aOzMZV55
1pGUGt09cmCb+0PH+SbwhqHd13037AoIlAyDu95+Q9kmHj0PXwW/mFWJPg+XxM2wtyITMzhJlA4b
izMuzmNCx3pzlmM29sz7sKrYpM+S2dbLH05szPhnq1IngqiEZu0svbHjk5PHpB3mp1kB5BJrSZ8a
0P+bjjeE1ZnTDinSAAmBnDslIoLFarS7VnPghlFOV97WJHnnYMS29j40pv2BvXL9XlBV/qjhtFFu
TwWp9c5i0LnodBQfXb0nwXT6gtLcaTdDFBXAwCUBAVuyguSFbc7pTepiAIozJ30pmz5+cLp8BD9Q
wonLO1vfL5693PhmEz1Basvfa7nwb7IrPe2olCs/vlsrjRNroYOHAyWptwzz/dF5PTdL/jvh+acJ
j0nay099pb/o4x6/V9X3rvv+/U8Dns9/6g+BnPjNIT2DRqJFp/pfwx0gIjT74Xcw3UHFzv/+CyKC
FI7Ji07vxqDZSXuKZtkfKjnrN+oa2giUN/Z/rJKzXKUe/1naDoYD+5BPdxBcCdXELzMeF/qnhgW0
IgmNLkuz51hHTtoW4t+Em7ykbxYgnDUmPO0LZE3wCBvRzeaeM6J7kCXmYFpBHfWmDWegk5bzOAM8
2zqpXhEx63REibXmtoyd+Us5z5J8a/DAb35ciaPR6EU4+PYUwqCwtmjhPgaygI+j2cV7m7HahgQY
GQoCEInX6If9QpBxgOvRqoG2zd3OhowXFpWX02Fa6i9WI1HkoiE9DnNM6l7qUKm57kYnkSscs5QE
vzbyDtWSEk2QEK0YjB2ZyZSnTv0lEYPcI3tZL7qx8JNNbDjOtwgAXML4pSlkUBIyc123S/+Uo8m9
4lij32PvNji5uKdxEP41JBUaWGUcfy2SjrhLMx8PK8PfTZ6yndJ8bffAPAjDToEcIrg51U3tHkFf
VDuo44vStYrbyvVJGMs3rJX5neYh93AjErnEMnnbAmlRMOTSfmh1E+6/tPRQXy0L7cHcHRFJazCx
V4HLNtEuiq5qUH9LKkAtWzeqdriWDn7fLXARhLeoPR5F2lhbQ9jowYD+7plZ4ESXjPr1tVtPzWh0
10BPoiAfDIq2cn5f8sHZdlOGxNHNu9OKCj6YFqfYOUONVKiZl3srzdxvQzSHbO5fESZ0e9GY2WEY
id/heBQ9jwQl7rIscgh9dvLleliM7Dq2S2LHPDifIY4qSBslAQ5p4nnQE9t2Jx0jBVVDSBnWSoO4
gb4I2qX1v3ltNf2I6cnuVpV5EsqoBIOJaf1kLVNHbkTWPCWDyJ68uV7eNIcZEpEQtn6t1fkI5pZt
qwa+TvvHJ62xIc2cUWMEo3LNvYtId6pbU4z1dTGJJ4TpTR9opiUPyD/yE+4b7cIjcO/WKFv/0gIi
MnPKsrI2TIVWuodBG9JlR0uHNpA/WHkergNNfodU16wyRj9Y59bcJVbDOR7tADtDbZSHZfAyVCY+
egDDIt4sZD9CqT+to7HJJEq7TpQKyrKWNEkwadgSfTXtlOvWMd7qQrrRFefDObnE7fDioEm6p2m4
jzRPaMcuHazI2BdkuuRuMPpT5b+vsBjSLXq99RYlfHfXDRAY3v3KjECsVpxkvH54sqkj7xANsXlu
SSR5tKIOSV4LnhPBkn8B79kg3zrq2LSw3Df3zayVaLTTZYyJMXLz9skoOO/MG1vPaftuwCbW7kXV
2V6nbUo7M/RbFkquezkSLBg5xNxji4gj/XVNyP8IdaIqbtAtlu6Ljp1dttsOzf2pmv0h+sgi2dFp
XH1IvbhF0OBYW32oH3hy7TyAkjxMgWoY5eE8FpQJeu9n31w4t9qBXFBKarsukOVAmQQ1O56xMBF0
AVoacek/l+rskjNF5UnRFxEfRdJzpKwkp0XC8KyPxTL7fG9EM5gYd2EOuKE/5tNuFEDCtpWtRgVE
1VL0l+pwZ8bAYkK4oLSRzjX6p9y/zykOkHYpBTzkwgzKaepX9S0mZKN2wmWQidlf5oB59U1dj8SS
uLMbb2kLObezkvLaStSr68XI/m9zjWkjRstjoRTDLaqVlsS5VurhWvoT0CPUxZVvSfJzfd772Y42
9lmGbAymixPISPaVO3r7WumVK4TL61nC3EKOv5qVrjlqGndXTz2HTVgyxMVCxUAEPSg9dA8f+sJD
Im0rrTTvKrJpETvpto3p/e50pavGyJNtHaMjVcmcbE3JqqsbNxnqe290nZvekeOrfZZqG6Z/uSg6
dCFbsclnK95D3lwB3awDCU1lty7vIC2+sUe1N9gVnd3kcrYhF5jUWUOX+kO8img3Y5t6IjGtO1kg
jtkcODcUsdvd1r2n7Qpt0S/GSo/e0brad2AkNp3rxEeWzuiAvlv/krsi3XSl772OOCXA7EVGg5pX
zpfu6q7Xlm14nHdmwgGnJfuKdFdc2EQC3tCV2PVaRSOeqNss7E3OCEE2mtY2W6L1zvGzbAu1bt8V
VfMEzKY/Ls447JX9YW+PJWzZTJCps3YawZ5FTcQjLrxs09IkJK6TJd7nOLdBW8pois9/YKRAYCIT
Jzr2UXLXLDGBPGuSb63Mj/cOP2DXUGGSbD9ZCUvjan0xTdmyF9p+8zZ6Rn8Nb0V8Hwej3tmQW7a5
iMSBit580WY+D0h7vMGOFO84EJJFXfXFTa5P8nngPbwe2r69sxFyXXmuqMI1qbIrsq2Zj5vJeJOT
/0ugc+EcinX8Kj0rvVqsJHmJ6kG/iSL6TEPWOVQCKlV38FCPw8Wg4wlrqg9T3vw7m6bV3jec9s1T
SfCdk29MhjIMaG0VMFt6zpEhg3/KSYm4FFlef5u6GC3UXOokHKFtT/T4JQJ6GwoOBxQPpJ4xUiCl
GxWeF+hC+zJXkb61GEBc22mqX5pal5KV28ZyM0NT3FgisTLGKv2TZgxMhQfaQLjpOOT72lTTF58d
P5RkBIar7y2or2MDTmHpKVGunjsi5t+mT95qerzU7djTXUjtzxbwbCUco109YyVo2xzBH2FUS+I+
cFz1YrY8CG9x8tg5S5Oe/lvfV33aL/9Q38PS8FB3/M8Kruu66t+qt5+r+9//mT/kWyoWEpMwHAJF
HcH9+q8KXym7dGRasPkUUpWT7L8q/LOGS+cvYZ1G8uWouvsPDZf1G9hQJCb4Y9C1gGb5TzRclorN
+bnChxuAfsvkvyY7o/eXaJFmrem0Ice/dRvaCWGhlar6S0iwtiX118EFalbtmDmSiarAXNcx09ew
4En76CJvpRsUlwRWQSmT8zFZZVkFNYvj+9oaDJKq1LN475rlqpZ5W7ykqyWv6m7VPzLGBX4gEOMM
gY6eY1Ey9tHcp5ynn9y+d41jJ/1xvJjNtJ2u28aptgneRDpqRrFAV3Lya+VhDMUQ9YG9aFf6wIMf
QIKLQ5FVq7GRS/uVhQrwlJEQCzzO+sIwDkw4BvLBDhZ4ajvfixJjG02VnYQWmXLXBe7W41AM7kFr
h/Y41mXWBG1azadRanuDDjFpmv7LVHHKSbSih4EW1+pbLWv2MtsIOs2BdWBgVpLQWyI7ZRWtEJuJ
hbLfDHVBMR4wArERSVcGVVyNry1cEbiugqaaxVXW1wHzjJHaFxDKKbmaKXMuJyQv71wRUr4haUft
4+qQqdi3VqdZl25Ld3abtSqBc3LmZt96TVJsjdmYronLLVKrOLgFPU+dw8TqlSPcalbW3jxk6Zzg
Ew+7vBkH95ISFHzRGgp6cSRBTkk+MMIK/JgdZTyKkvHneAk4h9QGHHeYgryzhdV1m00D8Pt1NA1x
33X0zgvpE1KGL6PJfviMFX4sEa1p88agrCvFA4xcsUOyq7zGuFzdL81EW5v5mT9eTXGeX+BgpWPq
tnmUhEsxZMfUourcMt06YY1Ab5Gi/4+SfLrtlmJEvp5CnS/mvN4sTR5DDiS+jjzDehvH+rpb0zTf
5+yPnGnm+56JFPFx5DESKdcmFNGyjy88j3ottEyuNuoGLzroEG36bWEu9pHarN2hkO3eaqMp3o1e
CnPn5wRoo9dek6D3iMojCy5rqXU6X1x0Zj8FZHIWFxkuCHGgVv6aZHiYw7W27DuNK2hjo2nir3Fr
6XT2rHJHWom2Z++vNi4fd104ZrMXq5hPVd2LfTLl+AKY6LuEVXgTLG5Dzy8NEUtY20Y3Mpt2quM4
6RhpYNUjaSf68wo79XqBjl4nok2nZzSgLW7NbOfpJVErRXzjJNjKNoPlXAHYgWc459FXVN3+Dmbh
iC+IUgQxWXUxMIF+wubNeMy1T+rJvo0E0glXnTVpvF2vGZYgZNd96JmNDfSrwQVlmY3+oxYLaYF2
Hn+JmxRAlrRgqo0gpLsCyceSOvE+y8Z8D2CHg7BUWRMkJuwbp/UfYgs5gEN/RIkUnldOApVJkiz1
uXPFycm+QuGPbwoJyQsF1ZSQcjlPV3NqGq+lvcwzrfO1joOp0M17hxPTVjAI/KGR3ULLnquxUwPM
IwkY77Rb/LBNI0Zo2rBIP8jJ3HtozIlDp+GO9bvlLfGjnVmxHpB9YH/rS2Ylld91/Dsa7QiDDwQc
HFEUIKScT7pTX+QzLQgPaPsWqt+8M6vYO8w2qpOpqUYvGAjq2fV2TICsO/TppfCT4bGnqA4Lrs9j
h1yQx5qi11iumPLDQc1JN9QIiAZGb0r3wms5S+B3KbyP2amSO7/wUtKo6uqDKtrfFDri9aDBIOts
l9rSA87IR45P9z0N3uNijvMm5+l+EBp5PpR8i3HwSYkNp3598nScZstsx3Q7EQzdZABOAgox82td
EENZJoNGPqawMkISHPsV2jdZsoRf3NdYH5HetdNLnnQVYRFZfW2QQMsc2Z3fKRLH7WiY/Y84Z1CV
23Ld1jREsPsb5hcDlsLtKjAUjrO33i2VXe/UfObOaNvmkq4TRwNBaElICEoud3XdxYTOSv0NE3i7
sWYOCACvScVZpsQEUTlogSX6+Me8xjrSpsp9NfF0aJuVR2u7suSECSBmJyBpnhlzzcrvTRjXXG90
rumNxEhINHNnxcJ4iqXfXHqTnVzUftvcSZGMGwZjWHkWP1m+p0vbP9hjLDOo01Gy6fSFrlAiujKM
ZqCUQozGcW2XZQixx38vy9Tcirn2GT0Y9fWcNVmoUWhfQdmcToWrbQf0dtdyNOw0cJc0iY4mXaDr
RBdyI3C8fS26ESUCqoBrGsTLgz7Rdws0J/HvLZ8++uj187Geo9TCdGpR5CepftuOTf5S+rV8ib2q
vauGIkJUFKWXwwz0L6HsfBKttRBEXGf7pR2XbbT0MqDPATDR4tfWhDcaen+sKNAbzpjDE+hhfQlS
q6s2WmpD9bOtGnNTot/Jzo3NrYtD7aKaNDysZT4tlzbuzxzKuurV1JbJdezpf8+uHdgjNL5lLkeV
CRmtFyIVzjs6d10L66hK7yBvTaGT6f7LstrdQbdWNnqvQhIZUGOnOyclwtPl0PEYuWMbB5rdouKJ
I6xmG2+arwZZt7uusUAP/rc4/v8qjklq/Nvi+Ob7t/aty/9cHX/+Q79Xx5jAEbhZls2pFL3lmZT9
h7lBFc42NbPjmbZ/7oxXKqP9//4fy8TgAHgHNf4ZRPUzQ1v/T4ph41cOtO6hLEX0jj6Sotzmi1Es
/5RtVpiDhoksGa/McvXHBFc0/iSeIrp62VJdwbO1loZ5pbKfsQCiGcyVKc1W9rROGdWK0sOzVvH1
r1tlZGMu7dAMVu62XhndDPR3Y2Cge9gBKBm+WMoS157dcaMyyvm9l94g+DFZGZWPToUPbxt4WaGN
HuSmV4Y7GBVyp49eiaNPr+56Zczzzx49ZJ35c7tM04XiQg7BrOx8upzQa+mJhjTRq/37IvHKe4LM
n2mfE8rtCUyByh7oSHu9x3XY3itI6c5UNkIUBPMWkWJ/kTdUhYBjGfk6Yt5aieViPs5l8Tik2fzm
uqUk5KeO4sBagVZIdvE73BTJiyzzYQlZUJqNGY8GQlKX6s+Wyb09O9l21BFCBhrd2asWFsyVJ7un
EjEnGSt4WCggqChD3WzWx6of8lAX87d8ntsuMBlIwDEa0yuS5GkhVY3dfYWlTQkguYdPRZ6VN940
JjutT9aLtlR8kISaf1OMnqsYGST2ZGRQ3tFVyw5aEd9OeZbtkO7nmzWxs7BjzHLQp5pyIqmGq0oT
JAiIEqhtD673gZVx2OXYfMMeI+atR6zVYTFkde1KfbpiQVwOHtlWb3TT6ovMF/0DusdiZhnU8m1l
NH2O1s3wjiVL0jV8DX0nhatt0BRVJ5KpzAcEif0rWLviBwIz/dFAprRxOADdkuGs3ZipC+4ULyXX
CrOtnCufJdcrv5htOu7QcVabirV6O1U5YCfd1raa2c54pLvuVvQNjJu5n0OfOQc9JB4ctAua77+b
ZoYzXLYC15lGkG8RzoVqD1FdnIgk10Ec+LKHFFiuQanXI04KTAx4jd9GxJ2XZ8gllOTmxmpFHA6V
XlKKr1CaOzpdsyAIcTtS/F41DCYORdx4B7bQ4ntWxdmd3gDoSfN4vc3trKEPZkfau4eiqwyiuBN+
ICenmAOk+MNllTouh/skuUg5VwboAbINQ3v7SypK/aWds/nK8XN9m1jdcM0MFWd73cjx1Grx+ioL
DivEsTfzZYNG9BHFrH3rSQvLcxPvx9HFC693PT5nzoa5bfYE6IwEn/NMVi62dwlNBf2fvXG63s3x
XVbI+VEgsUkzuTgavmiPZFN3ReBJYa1gpCWnXKeNymeWkYa6plgPVSz1LcZte5tqjX7tJqKa9gTN
4QjEtr1tk0XeIm6Nb9vEMjaORHFa4JBHoKq180sXJUQLzd6wPGCCNGPmKYVGcptIDtSX5cWw4l0M
So3Uo3DUpD3uqoYqnJRFRBaaTUjdjZZ78TNtOJKsXaSDTWhJGbGSpM26Wcv6o0BJrmrUcr42V7dk
l8/tNN9ky6g9x2NH/kkGMDOiZRDPgOxEhqk2Q626Y5C3EtXEuOZkFLp4abvo/7F3HltyG1sW/ZX+
AXDBBFwPE+nLZvniBKvEIhHwNuC+vjeS0muypKZacw2engyzMgsJRNy495x9ChVEnAeqeps5JcCN
KwMryUivy4pyBbiXyoRuesCoxgE2Mepk+tyH7WROzmPkMvi+ozOq+n25sCuL41yZrYbOxEvykZZb
b6bDfZOMkfdFRJwXC7IZM32wH3NIMLW78SqgmltNqS55n2hzGCnhiEbTsHHR+fl3CP53TbKFfPar
Jtn11+G/9m95hdmx+WkQbn5/5e/FgHuGv7AmisU19Z82mWt+stFYmUBmF1opaNv/bZNRPtC9shl3
L2XET1ZH8xMWLP64ZYFt9Uzd+ieVwQfiHyMK5sY08XA58SkoSX6uCwQ+qggP+wx6mT6RNXOCM53o
6YeL8hcWR37FHztx39/Ep6Zasq/5vw/upY6xTcUIft4r5rKr0W1nIOS9G1Sp6Da/fqufHWrwV/l9
BJcFmqfu6vZHo1RJQimuBmvej30MpDxDII8kiuio5RyYATTc50YDgm22xYo2dfk3b/+ny7kYVjFO
uYaBxOHPlsZs9uzBMet9UgwPJlM7L27Xv/4Nf/YL8cOXt7BpumKDZV91Prh3mkabFM6gem8bwwOh
A080ZcpA0bylvVZ//fWb4XT7+N152Gmw2gm4g/QJ9KXL+kPhSESdcEZaAXsxWPURUZFBLp2v5cfU
ZjHOevGIEoz8OqS0HVl2FsH2qxrnP9Cec94dlRPnPDNikwO9kR5gtJON15e9X7MBL5l5rLfk55m1
Ac08B3XRUFQezCS3fjOTYcd63H0rxJIL0nS6+TQR4hJouP7yNS5061rWiuO5TK210qfxaaKBeEnf
ZVjkDW7D4Q4l54NjZ9FzPLkl4JPGOoVRad9gTUnvHJuecC+afAXsP7pGbmgwbICav0TvgSqw622v
5vnAhnKlEq3fWnn+TbjZXRmLL/QbT13DUHMQXn6s9PFz1IMg8vPE2XBGy1e5hQAhreZ6h3aBRNTC
WNttMnylCVUf3ETeVMSu06ij6SfMXG2oyJzrcaQU9TUnPJqR9eRqRnhMZMwopXVRevU9CDzNJ4y1
RRhgJMn17NfRQ+egSlceZaTfRyQAQBQZhxAZRpyFmwRm/BXNyUBJdHwhdOcLO9KddENHoJuWrSny
D2w5atzGCMIeaiaga+nZRmB6sXtZkSuiE7bDOGxbjE3jPIrC1Z5l2uMuKA1+jgf+8aE0EBZkTaz2
umVTQTcNNEKoz8xM87q5KjNYA2ZRp9t8YMDDdgd3oiwnAh0KA9exMnFXZvqTKFPSyXoat5qMTfWq
Yr2m3mICfUmURfQQS/oqRUyYX+jk0PNrdGOrIV4w9kRFXoahbE7VTA8gb9rLENPEaz173YNQVrqv
NWlcGaPl7POCewHeQbxVXTHuitx6lXS+6L7HigGfi9pNtLF/0uEs7Zh+NVdYwcrbJcTUBNtzhSGg
qvGYZfq2GYiNKR2bOjN2UDUamHN2jS/URRyS6wpq3rmNASmFoQV8NOxcY+Ub0edEpRK+hv089tFR
5CFTtmo4VVP6SEuZc0OPqlnkRX+B5jwlbaGny6QgOpABYuywTut7MC7Zfso7cbCrtr5gyMf4TI/s
8iaf2De4o5nB4FiL9JMV1tNbqzFXJEiE0x6qzYsuchCmjEh+nIyyaZ3kaCTTsHbXtV7zblFqlTwv
mmYFpQnpOKwktg2UOa9e2hVB6EX+LgrD4WKkCwjmQdHD8DW5o5QOefZhLZhC59AUKk4GSAwZAWTD
cTalcTkizdyGiUNqcFkmnBviYu248g1Q17NvwB2Luk6/i4EN7c3e+uzyvWpeFt2npQ5LxeVKW/F8
7ESJtyhMm9UstG4dDn26rj1iOpw5udLaujrRbcnWICHfSc5ovRXAeDxUYdQfQtgqG0PTT+Okth18
k32CfHdVAk/azeSXBlHo1I/QB13YI+2grSuiibdMhq03VFKEbssKOdC4JW/ZerAR2WMPTJvigHag
vVVaZUHY0L1DnA/WTjckR42l3pZS8Q3hkJ6vwyzFUGeF1fRYGl52yYI0HwxyU1bU769NCazJ9JHt
DzSZUAqH0Lt0eUlvayfZACCv0b9fRREK3Cw3ius29w5Zbz6mOa4+5OVQobzmSKguDUEGMOsw1byr
KEy/hlC5AMS0G1eZ4k3povotUSh5Ko7r/srOePZYEpybeOKYgX4uOxCkjWwYoxnGi3l4KTkp0wtv
eGfdT1DGZQ4P0EorxmUYomXPxlDr9KlmcYJB6qyJIDECI8sTNOJ2hnwuk93GAX7Jc+KM7zneohsM
QXS62gJxmJs82eTo7ic/LjMOa5kKDDGKIIF3t8mwm+zU7IrLzIqHesXZuefI6Gl7g8omqGv3i2tY
9BYWJfC6xmRz8BLPfciwxO8gVuabxhRT4PYTiNhUmAv6Te5VjN+kHJW9twFN3TixQcKihpjNs5Hv
xdMumySXv5fjo8HKtTYFUgIuUgYfITICWzcqMMRdat6L2tk4IGCfuykVnxGnyGuncebntrDWBFEN
8SqpmuZaGVW3TfOEOw/S1R4MHnmwJE6t2Ty/FWlrMilo0INHYYtSg85tn1isGYgviH7tcGMRBGsu
obDnrf7fIv/vinwBR/+HquhPStebNHvDNftzs+/7i/5o9olPjJ8ZU6JuoZqGCfmfGh9dHT098PkU
+vqCEuE//d7ts9zlvyzBivb5VPCH0NWCFGlDb2RoYy6v8/5JfY/E5OcCzoDbjtEUxAifANPQR6Fr
06dY7B2jPmKx4DQrsm0n+45CpvNOtiRM9WCTzozrhHaHvUkb6KqPsrOT9wwFLzPMUWvYT3FL+nGI
yYFeywNDpOyC9T9ObkmMZhRNPtKrPTvFURpRdtENibn2F/Ax1rA4J0Qr5HYmoXLd9UlxmVS1Vr4W
siqv2PYrYK2TsSMQrCdUXJrVNu+Hxn/tY8RPe4bvi08A7fdLP4zKu53Q21LfxPIyMctObKwzycin
3RK/9QvgSJ1ZR2VTphGCH7iSl52tyy7aalmuw3IlNITUsXyI8UNcZxKFgrtlXZmr6xIgaLuSY9u4
gQudQIR79l5aS5ucQQwVbwGChlkoUxDftBk4Mum99kzARsMqzLieNV5aNHcLCMTXh7Wi3cLaB1FY
/zIMWTvMm1TG9kDoHsUYBXKRlGFKWFgD7mvlqAIpE2AoDf925wt2CunNtaBkTCoxB6mDG6wKkOeY
ks4M1Vo5J+9zOE2tTaMuj0h26iPKUoptGo87Mx3D5trNO+2gY7u6RQYWoh7WrNVAvYszXRaovLR+
F9mVeZ9qDinkVquTaka35mSgt9s6eOjfmHJTKGYqw0k5yXWMF2JLhza9ZEBn7cpW5IeyRKOcFn1N
1GdROitogOrgIeZ3laTcy4tybTkyurFNnwxtmY1rh27GWnS4xhInKvft7IenBgfVc1hoHV55Yr9W
s9ZXN1niPKZlHp04h7S3g+zdEwO3/lXm2K2R5oXHppLjifuh3E59GT+x1pMXbpYTM7pKAxOuVE9f
2QyxSMXute+n4ZNE1LnHCaHdaGMI6quFe7Pt3ca6DJ0w25GWFM9rgwH99ISy2kaInDmPtWMU94z/
U7inoYzGwE5qawyY1btjUOLOPxSN6cCL7BCFgxbsDsM4N7shS6MnqyqtC39mugn10x4ehG+QXO1V
Da09RZPvG5o0h46RiyVnFZVFgX65xD3JQfAWWDla6cF+SKjM2kQJi9Hz6F4aU0UdhNOKwPmwUf2N
iiLsF+NY7iEoKcSIE9+1ytrmJDOneGrakeCr0K1+G0z5DNW9DzBNe0e+6XwzVZYIpraClkrE+Sl0
WnksxNg8RIY1vyhrzvOtP4zmlwRMwYU2F26CncNyj0M2+luRVF85zoV7w9brDXN2iMyhm9z7qade
dCfJnqd0jp+toYsX7Y2XPtcYONCN8IQ5WtfsdESmG98dum1coQcpkSnkXpztmOfDwfML+ziMLbUR
pA4kK7xWAwMYp9gbZxTZzF/i2wIsOdVpNTYk6KWISA1kphI2LYbyTmvXQiOPrBwURL6QRjrXpWP6
m8kg0vSABvtwxDdfrJkZm0/C1aybTmse47m5TyrNfR9ttEQUPEuX2B4Y6QRmNScPLiCUi5ye/KXe
wQd1khajZBwdfNG6V9PQ1Dwaqr2fGaCv7UYvvziKvmM1zOWtFfrzb7ityNA2NFq/fj5UaCUi8UgY
mx04dcZgZchxHcywJq7AKKnXzqaJzoyanGkkfHNqGBCxx+aIHzV6a0lU+JoNWMHavr7EuDhsbGcY
17JXTJ9lGO8tzUWrOQ7DdHnO3hGpQ5nZdabGEyekfo2+U9s2paGh4de98pQmLcanqjMwMirMRn0b
YwTLwhgZMC5fEEgmveK7chBYe9NosO77LvR+g4KP95XoYkxoZ0M4ZzLk8Rqm5rInilIt2YEAKhAG
T2iF+aOLlzUyirBC+yipfAdB19jHxzgZWnvtRkQsryIFRhM+DsVSG3Nyyj18DNVk4O6HcXcNOi/l
FrXLoNPHLzV73p0xONOBkL424IdGQZRQT9lMe3YddvlLrTPjwPcqOqtlY38rNfGOkNe8BL3QMmWv
6QpnfrKpMczxkDOgRi3hXeFtSC8ZIjvJKpm/SJ12Vq0vYI9xfCz15p7+sE7oYCODIqREjgHKb2Na
RRAkZv9UG025ASPFBJ9M5XaP4/o6S/toK1QcrolXM57j2ha7hPHHluf9SzIX3l1ttkMgSSp7iFw0
tIZsquOAqx7EYGhnV3bJ8dgmpxxFnx7t4R8jvnRyp9sJ5EQn7tx8TRD3cAsTqnmvx1bjiIBGnrJH
eE8R6Jkjn5BzLcqNoLQru1plqZ3f5qFmbzMTr7zBuCXQW31cT60eX4K9clc4Vctdp0a1FmrsXlEx
gOH1ygIpRPq5a43fkrpC98/2eNkPecSMoB0kVnM6RUVbQnDOJTYza2y/Gcy7NsqY1H2C3GJDB2VR
wHvwITxyxJgnhvcxmabXju52u8HHajK1SHQ4w1rGJpl9BuI0TzwcxVI7DOoCSoQkFmz4rdFF9hly
r9pGg5e+5whzNzik+V4977P0sq9NGrcHS2O7192Us6PN34Wwq1YT8sQ9/UP9oIM2WEN9MrdmFxuX
qGGSL37iwQbNpLbDqIsMA9zIKQHxcDTbJN5WXVIfFAXJRtEG2+PZWRjKVF6IZO1dasr+IiYOgedo
RDfeGZq21ieIFmNV9hvLbYsvHRk/AZ+dCEvOF2qSzn7oLTzw9tUsIPIXAssIEyVzWxr2l1qvTgoG
9KpgWBggq9uxRGtIAAHJMNNdSUmTI05nKowMsUyql9du1ZxcUnGATsI2ylEpImBYo6i/8zjHHJNy
jrYFasNV7WMTwQ1rgviVxxYx/zYU2ZWVa9qd347DLnOUvxckkK9nKz9paXE7NbHcYp+CglFqiCay
6eRjEsIKlGa7luncupsZ4ImoxEiOQWVX9NbMIuxaN0Q7mivWdveBFIF4PxN3CCjD+FoTe7th6JTj
gIYGbMaVzUaWSvYDS50G0/C/xPlUb1yN269stb0z9sXJ0ZAh4WuUq95WIDf9Sh1G/Cp0ZiNMBPHs
HfNuOmWx/Rm49uO/Z6n/l3BiOQX96iy1DEyOX5v26/STsPj7y/6YllifuK8c+vhiOUudBRK/Sydc
m4kJzaGF66WDerT/c5gSBuJhw3U9qHQmkZKLwOGPA5X3CWE8egv+y9lV6PyTAxVTlp8PVPTAEbHb
ACI9tOuC1sLPHXFMOLQL2cT2Pn4XSAmNxdQ4Kpv0gtxq+wKBY93fR3YbUlLEUh36uOhOFKN9vksT
g3jTpgErucL8QDZ1qKxVqPCumhX4NOgFIuaBafWdmxbkh/qoruZRG66j1JDWGkB9+DCahf1CC+Ut
g1oe8aMeenod911azqe28R9glxPyXTBcWZVOFrYrNMjQZ+hFXykwEgVnBw8pq1NawFQ7/cUnvJZs
YS0274piSI8t4vwN+ytAnooXDg6aLWG743UO52ZtaIZxF86mtslbzf/Wmk2pr6hvsVH3+dwcoj5B
virGtHqzeuKc56H1g1m0yep8oc55cY0rf+P7j8lJaXn1YPRMldNm9nbMPvwySHJ1mNNEBK6leGFr
DyDoTca8CRubn/vPfTLXUVBknv7CCWe+cqrex1/hz/sc+vQedAr6Zk3x7oYHI6hItGnbxp1PWHNp
AVIn2NFewb9HQzi0DIuwGTBPMKtIe1XKsu+x7uQ5RzLLuGy81td3g21kT1OauR6HLGW8NICV4lU6
6vy0LJfjjVdl2rdZDrCXrDo8Yv2Q7xqHkeuKcfDu/PnY8ZsDd3YzrfB9NQczY/9YFYhRA9eBSb3V
G1XsFESEoPRwg8UlF7n1pm5DjrqSK7eLTVqABjXFSnVpOlzi2MOUHmZGOmNU6RZTnQ3WYgerg9Zt
ArITWlOZHmdRHvpG0HHskp62UxyZL5Wme87WqCZP33GrMJtj1X6hIGIDUG3LQW+pj9rWjmGg2/Y9
otnsqSGr/F5WzfRSV7K9xAToPyRz722lZTbOmqa+xSlZRRdhDeQ/4VhBETXZF4z/4Hs6CbQxINQx
4x9+yWRGumHPZlvsSMEUKxSTKIsdf8GsJhXE4GKYdp5ofazkpvVtcCySdcImz0vSdgkCxarKIWDr
J3onr9Os5GeBGam2TumYUM6F1fMNr/qmdJNNB+/8Lsz96SqehzSwaMet504Pr3Inj8cAbLi3Mzrf
wAUvraeMScqOE6ZWgkWWZN6OXZx7u9TQ2/uuFC92l6nL3NafC2+ckoBpxSLPVbNGIjGZxVCw2NBb
w3G2sTeHSEaxEdB4KI5o9gQh4MprbuY5K29bZ85PrWbh3Zqm/NaOhXFUUYF7wKyjTe46AiOt022g
F81HKWoMvylScwxRtvWISJ2BWz55IwdAhweVUodqBIk4ztqYmwqu9bboelLi6ZQwGggTsqCGVtvV
ldVeKXRQN+ix0gs0HvYtYl0TSHWP20Z3W1h0gNowuXqaT7uVdB+1HkbdfelnLb4KDSP6MjVJ8rXo
SKif+Ornyk9xN1pEIQPwkQTiJUQ1BTqveZtrn5BILWnGYh+VeX1PXYELDlqc3CjZWzH0+GJ+HO1J
R+dRg19j4EKMZlU+aY497cza1c2NNSF/XdH/0LVNMc1Uwn3WibVJUvHGUoVt8Cjbg8HRbtDXveNM
F0NYlSdJdPazz+9vEQQ0j8mhyku3XTtzxMEpTCSzRGeJEKJE7Fb5kmu00mulcHC5JVyBomoCyAjy
wXFR2zOxRMJsNnly0ePumwI6X8RiJKZD8wRKbACBYNxhtSqCYcrfSLaqN008mQSI1O51OSntIU0z
Fn9lynk5UScWb5F1oOm8ucFoij3ART9Nr53FHEo3q1LrqBA3KCtLnXYhsJA8PWb0qtYmCnpiRpan
qALuez/OrFHNkIPK0AggWfVm2bNqTOwwTekUO7zhzQExjSl4HAbzDtI6b4Qoe1wXlK5WkPXpfDXo
AwJY0IZ+cc22PYHdSssJ6+XckQhVzFeNZ9gX/5ZL/79yyTFo1/7fJqzrRRf6X8FbU2bxBy8W1Q4v
/aNksj8JmxoHtiddXpyaiAZ+L5k8XFXmojzRDeEsJAYUHn80oJ1PbD6QN20QtyYv41V/1EzWJ/4o
JC9cpkwwFnPXP+BpI7z4WDMhIrAQn9Lphu9gnWkMP6gI3MUuQGM22Y/dQowy/FQSUoZDcVibfYN0
rusrvQSt5ErnEJoTDBgWMd9jlsdNF5iDs5gMZu79TWmXUY2qsTSGBhUpbkZInBDn8hh0MxJXcagw
lVwzbRKHTmDpxVbFhDbjGaEUW/oNQ5ItBLSF/IIY1rv0ZUg/uvWq10qfoaL1SYt1mbG0d2lIxmRF
Az2PuoPzTFlAc1qp0vSqnQm2Gz92qi0vOcfHpcgNb826w87Jo2PihVhwgF0LY+cMs8ljY7xrCOA7
LBQrSEPV6BLqZhZpeSzpinhHx3cBF3oLCwtwH8PkhX5nFBGsrUrgPaI7B/ovVQtkp/IXoJJpRqRe
0vh/oPa139wlYq4sNbW3emk9zgNcxMJaEHmWTnfbyeHLRSZsT7xJ0A4TZ2HkgfFdHElQkfCmYAV6
T5qYK3BmkRN2Wr0yP6bnM1oNf0yMgGrOPM4p4nWMmfkAtgFECS8K7wazcgEJLhxSRdt3Zkcf+a3F
ktbppRZBionO7+5nNngANegWLKw4vyggNFxbKXE8HnF4q2aIx6skjPuDVfoEAMQ021ffM7idc3Z6
PuZEsHFfc4W/f6GQYBg5EFjiP5lq+YaZLoy3fKVt+wLyD9vacEZzj0QD5mu9BUZ30nKOk6tyouXL
vST5q9dmwMNsGt5khyYan/F7MN8w4dfBneNGeHq7nJSKapm2PrPzki4HJp5ioR/mbzJcKKZ6X/hP
UzbcYdi2t1MhHQG6DGYd5U5ycntBvXMmLlVGDshQcAOOclju2pwbHbO3Crc0ePlJMxQMkuPh8sV8
EohICGgXXNvAP7tdz92AEptv1rc6CFgUW9YBdj8m/sx1Yc2RysPNp5kLHLU3efSIJ+ze8VIvpvkO
JqAcah5CojL4gsvK48Dv+RDp4NXCsTgWyQIkSn32rE3PLYrdg8fysiRmQuxdNJcHLcHzgivF4nPH
swI5lS8IOIs9ENzhgHZuFRoKXva4+PSLeWGJ9ct9Mvlj9aqWr8izOoBJtqpePaPlh3ULUdCnnN8Q
CBNDP4HGWAkQU00FTOp8C8caIKopBTfM8AGG2nKThk4/3g3WwsYclrjXc2AuCRBEo0pE0VsijAGf
nUGFHSQ0K6gyjxtGLUjrjIAL7oDlkaCEjHdOjAg6mCQE81pn4YiNuH49g7Fqu4JUAFbUeBAkMT1p
iQ6UoGoTsv/AVMBlgXWSfcfYzuhndpm0hx6FCuhBVycWMm4X3Nyi5OZ50HVuMG2h1uJN5/qE4Boe
enpNu4lQTPouyP8OZy7WsCBI59rhK+zOafdlBWZ7lWkelF7lttK6Tc7Bo1rDlIIdfvbXOpm5e8IY
9a2eJf4lpn0NoIbUmtVYpvy+1ogyfTu34KE2Pg8F2r+G48hqhvx/l5vlIO+mdsQYm5AxHoPL2FkY
z+7SBdEFHRdSZG5k/ByBEudA8Iu3TrrSfNAXcHUHIIsrmIvxrgItRjqZTOvXVAesyPQj2oWdNB9c
i3veAe4QkhyVNPN9S8qu2I+0jg/WzC88pil3lOZjUl9npmY8hDoc5GNUujZwuSIHjYY+Ot6dQdRK
mODKmB42+2whGbYxOfAbaBDcUxTe3OBkx/K1Ni2YSp2wljgYC7rMtQLlltjTgIuwyZnCIf/mfjHa
zt+UZDq/DpzIoVjgBbyOS994yHPUHghmqiXXxV/uHNfIyglTK6PKwGRw/x6lWOhiaXN3L41s7K/+
UxPDnrwQFfhAPIdYHc73vIB9d4494FPC+uKvynWgtS5QVqa9C0RPX7aRfjDqDquuDeQfCBbrW9Ni
w+e8styP/kQPnmmV/6QxrQl/X9KS1oB2Vp1xsHboNeqQeC3xMvW5y1pxlr8VDk9XloHE42zA5QWh
wiSNf5f3nngaim40gpHWqNyeV9aylIazG4BKPxlgGIqnIYqm9JmhCOtEJpZVyugJ+haMkN98/LSb
RNX5yZDKDLyoeCfuzD80VbVsBjVcGxChC8HsTIYd5oUyijibJ5jeb2WsRikLQ96Yk5z2LD9Wzggg
Aj4A5KFEegYXdvYv8qLtAGS74cioGNFWdpoTdPd6zGkdpKgWPZ0ZuEXHWekoCp2nJl3GGWT95s1a
ssSUxEib+CKwqTnvZZE/gZNsjn44Krh5ExYr6hDG3tAuD6W/bEStU9CenaLqgj3Gu0U7r4c8u721
bWqOMzVg4Gtbt8qLFiNq0GPCe4zd2oYCWoSf687caCbw6RZwd9B0S/s54RlYqdzItWHfddOhlaqC
AOejs7kllI1GqN89F9gyKqReW43myW0l+lWSu3ehifXnGRYRqJiVS/ZeeKDvn7OqYrgGC8LZzNLx
dlc6KWCmYzLLd6HOQdquRRIQQpjvjTOFJ16APJpIrW16pvQQmbzVF3CPnUgYPgjuQRvShZHTdnKm
zN373JZNELWKqaXpSv+is8R8442de2yB5Z7ceMQ6w1COgxUcIbEAhTQsdzfxAhliJsvdawiKEulh
ZvYSaER6RQ8YRg9t/LFnCAQg1Vq1mj2+ZaJMHgHhPBL7WmeXWd2KU53KYgMgcPACMTf+1uut/ls7
gUeSCyipHXxzNXOTbWrbjdceB9XtRI4axoy6xwEKbin3FvKSENhsFMHEV14jQYNzvZz3pPOK7ayw
GE1ZrJMNMDz6flJt0xjCixsOn3tYT/YCfQI/Mt1JeyogbmISsFKmo2ZnN6dWjyTlT+FsgHSMX3DY
PxAQgRgZq8qVF8v5lM+THZSuyrflpIld6PfoLf1YbBh3P9S+Qp3anNlVbV6XV8T2skSRhR3YA9Sm
iLrhqMDUMnlotL3tl+0hBbh0WVpMobhoBe0IoFmjQzdorGtvo/lzukpYsdBD5+kt3i+0FN5RY5Z4
wyZA5pboiy3Jzc4hW0BdcGsCC13C3gSks8OUQM06Vf16ZCS3Z5YmmcVN2muL6HqNtsnHKm2fVJyb
664o9LuUvtolIPvuEb++djmdeWLamS02ULv+1p2JY6FpIuYbi3qXkDf/klC+Rys6/cz3ktxMH8wF
XuYOlnatO4B82HnddeqJrXJtIs4Yb+FIdt03Lc1fRm1pkRhuhsK4adqt5nLbkCeI5oIZi9rpC1LN
XuBqLP4MLZAF78JIgl4r7PdqgbGZnTEExgJoY7UyDhMj6Lew0RnVhGU7vojS3FBdN1SCC+htWpBv
jBOdh7BmRWHlb/IN2lQ6GrHp7vUFGJfDYl+3C0TOHjJjuMRdhwS0slTClL51cFcxBrL1u35IM7BS
DDjJZ3RrWhV3cWjgrjGSfIEczG0fvbP4R1uZmPV69owKo3+PJiSSIFBBsFrhrnOkxsLUxM7eS9Xw
pCEnAx7vwH2n7WTIdVN1nEAk0xKnKa/ilucixtD/VDledpiBrkCMmtIt2LmZ3ozOPyYuDlTcLo9D
NHrc4oR5C+0YI5wm0S9VOYlqpPtEC878mvZR+6xJX5ER4l056FwCNq/wPlcmvcWhdZqV4uyC6a4m
ReC5dSqlg8qk53fUamM21Z5Vy8ehZ0EixYSjUTlFHNzCm7DzEdZU6MZX6GtL7zWsM8DmYZIMcOe1
YdJ9QhRxUCMxhCU9M6HPBJPOiHHnQGMdLob1ijWeXddU8FsDDwFQtKVHZucXtd7w71GXzsZatxFG
cfeYkGxtRQ0qG0m9VgwthYhDkrQK4rrKpqO+xN2cSerUolmQL1wsiQC2Wv1w4v8L88TiwPgRVEgO
1RLXgRgMwTrH6A8ODTTbsLu6OAED70P6zUt67c+zmFX7IpCd1Fu49lQjZYF601kNKZvvrz/AEk38
8RN4uFD4IEt2sWUyWvnRAjBIxyhns4v2NmkJSyBBG8VrhfjGvGY+LyOKzbDaxVYso4uuCueCflQb
XkdFB9ZUB5OKppuq8tef6i8uC4Mgy9Yp27EmuB88JYz+QtqMItp/TyFCyIO7Ki6pSc8cWHrlVD4q
J35+rfVR9frrd/8QLoOrl+uBT3f5HyW4IT4MgQoyOlRBPsjensDs7xOjnpCBtrWXJ3whcgLtNVuE
ND2kQLkOxlJ+FwJG3kUv6sq8Ec5Esw0uUhfJfbecoKs6KpJvZ5D9UCwQ4L/5wH/+EhcUp+1iq9TR
03y8Xr0fxZqFinpfhD0DGn8aVRtIJ104vDYwvQC+MriLsa3fcpFOd3VHrwI+JQDycmzu8qL+bi7/
Mv539LX8i/vaQGT54baCRmMJa5FAWsA+P3yDmk1OJWxmyfSF4dPKwYp0d4bLt7R4WjrPy/F3MEly
EHBED1XP+aJAMZPtjIYtGQp1tZzBuLK/vlTWX32wBUTkwCLFu33+7n9sVvV61eRNLfeVAx+BUpOz
l1r5w4DUa+XGVlvcw6DxxIFYCFaMkXCH9NgLs79ToveREPYDGGqdtvgK0wx1sdFxjNViDlGRmCnf
4wiLYRYuCWHN0uspfJ0nW0NXRmnqNqO6QqrRvX8/lCIiH+/UvHQBiqkCrh7GSJuYgI23Sx33ds5/
KuaW3vHKditOQL++HOaf5p0L59QVjkHfQDj+xzQ8aWik6vSutrMksEGwPnMhj55ajjpnajsLv385
mV6v3RfmTPMEbQcfa4rVDJXN4WpFlsHpxJ61LEBPwd9ysfjrCLgn2pzbQ5YJ2mY1NAldGsIho3hf
AljMyYEA6b4h3qvZz1POu9sm7mfMwhMKco8Dwfv5l/1XBP33ImiLJez/7kTfyLj8aWTPdsQLfu8/
e/onmwVR15nLw7jD+fZj/9kDEsnKs9B7WShpMv+BOzA+0RE2WUQNpMS4A3kQ/+g/e58WVAG3HBBa
Xo5q+R/0n42P7WcX+TPKAFC8FhPkswj7xx0MNHrUy8K2D5CyqnBtJnN6J7FVHCEl9AGiP0ZEzMe3
FWrLrTGM4dFjKPPqo3l6tAsaw8JJ2md4QO1zNDKL+uFK/sVK+HEr49OZOr8+H9C0HDIgf95ffcaB
IdYCcUh6Ub7ZUkAZQI1zWdgj62IdZ9POr/Q+aKuSmf6v35v9+8My7CGy8HiwkUnizTzPB366NhKE
DeLfmnjq8CUnboM+gIr9q9RnarR2KiC5+AMBB1qT416Mwo8fDfrDn8e5mN9d1XKUqoiIOEZQejep
o7JdlzUq3TR16Zxc6WHhHynVD/Diu0ujsqqt0CuxmhtF2saYYw8hNiy/keakYxA3erQ6HtUhqgAQ
xkrNCPHgr2rYPTo4sz2MzVd8MHhwaLmtWPYIyWkFebus0XfMAgtOUqKgqdZZaMhg2/gy8EPJ4T4W
+rOGe2YDb+lBIc4lx2WuWXZcpyquG0EBocml4mxKq99PLMdBCigAoV+H/nB2h74GuuLIoEI1T9j4
OL38D3tnsly5cXbbd7lzKIBEohvcCQ5Oy56sIouaIMhiFfo+ASTw9HeBkvxLCvv39dwjO2yViucQ
yPyavdeuc7/Cbo8D89qZ85is90W9EMqBbCIz2UOGmH/0BAnHpx63i+Uwo8U96oDVuiHFPACgEd3j
1uY9kLKUWVGOdf61bGC8N8wU+shnXLKfR8gHh8nWhHtnvEqPGvMVS9+uQzS8Mmn5Yo1NugfKOo9n
Ev3KhIVerR41i+Z0Z9kz8KnMtcwDY6vYD+tYMYZHNsv8Zy+T1b7C1cegI0kyMZPwQ1vCKE7yayXe
6eRMQhhhKSndZ8f55uWLT9CyW98Xda/JySaggtAhLi7ZE80cJqa2DhgG+0Ov2CovDO2OjEGTjy4V
06EwM0Ag0xTxpgZnV3jV4yqWCSFKM+aXNffzyHeUR5KOak9rZa77oGwVISJ9sx4UJSiUyBzr/I4B
lla7qauHI1oNC4CSry9EecXPdr51EXM6I2P0nPSHnM2JNDVceSQletUPbrqiCcXakZgGaxt6L5yx
LFym1bFD1+vdfFPCPaWJkdu3xN2N6CHzuHLnJ6tHKtCGgG4bJOWsRBLUtzGGUR/ixUedczED0Ojz
ozCb+YNxaGWFE4E9LGHbumWaAeOux6WQlWV7CmruwLth6OPLOq72GYpXPn1zdUbsChrk5m01bDXu
4mBE0exZnaG+E1yal1EfqC7ducgQsr0a+9rYNzg6cVJYZEoMaCSt/QjNO3ta7GZZTmgTkAQbcb3N
BOue0Kp+JIjtVxYAwCUwAyJBYWlALksyF+YJWU3KVaDq6z6dszbqGGK9kRJAkAM1F4+6BhvM3L14
xA2zHYbM50LE3fVdvo7erRhJXwKLEfC39dtnW1KUSX28WjMzmCHeaiM5vKjMzUFSZBM/vU4wnxMK
sJ6yZm4ZJTjN6wwxho2GMzFqSGde5D2CBG0gFNbju5n3o3lD9oNj3gYx8/5dK9rmjaFuAA/WKNmr
b0d5wCdnssPMZa/yT7GOoaZbnYkVjwCJK82umO0VGBvhPzEpONwE1vLmkM9gthe0xSb/USRBgK4b
vGAC+rSx1nn6Vie6zAbkUk79Ni6q4tHp1+Gq6Vf3thssfmJ61MY4zGDP8hCiRXvsoKPcsQOaNGsB
kozCwco1Y5KEPqBpeLEyEHt3RLqAVGO/2DgRISLTGb+XQnQ+qbS6rlCpAq/kJ+DZhatyZm7tT7ey
gwdCo+HEY1TjW/mVecCMvCjri2BXJiuG48Z3F5Msp8Xvw7Tz5lf03c1t6i5Y2VDkNGHsm+RqMKDZ
F/PQvA+W+oqYyz2TvpQ7myhmfhjd0i4jA73+dPQZ/WLCJEWDYWADJEOCKz5YyFtuUnuKu40qW1+n
5cy8lDGry+pqdL6T3I1kerKtFHgyPEfRQLkoLUdfyzJvrgATpdejR3JWqDoGEbqDbIGtuLfA0Jbq
HDAiAk8yxOgnuGdWPnKwRDJAFB1aXeUJ6FwDDk8WswLpicK+c6xne+H0m1yi+zjH0UgnjjxgRSJv
vLKHl/8Wjv8/EgYLmhQV3b8uHE9v81uW/bl0/P2P/F46Wo78hbX+pglwbMdCIPCP0pHm6xdBc09W
M/gq/hGqyt9LRyF+wWtHJDNSTCkRFcCB+L10tJB7MjhnU2nT5/L//EcYWeevxRleTuQRG8NrM+z6
klTZvxZn1G0lQ81EPNFutiR0rhXWHTxSTb9bSxqfVpJ2mWZl/731yAtM08J4FEHH8yeJJwYni1gc
HaBbo78q5wgS/04FRstEeOK0M03+Pa6RgEslVjG7RyPVFqHRssVtMNIcWGltlCx6XGGY23ypnqMM
4dGxEUvxuOZoF4OEaoMmbfzBcpU5YCpnibEpS+90DVaHdC41kzuxWbnsdMmiJOVr26XJRG3ZI7o8
QJQhkWUx2ndUSfkb2qDlnlgGKyKOb3nldOsxuieFRwG4qh8A6CzEqogrEmFaD0nqPmwpiARiloP4
OgKlLqI/PS//pDz+ZHb8zwTs81dAKw7vggaDO9znMfhzhVqtzOexcbhPa28HZwft7b4VEMCIlNTE
W9ooLrwwE1Vw33ituK7nTRPAQLNxdllhTseVmf7e85zmHBA1cbPGTspNJZsPKysMtirO8Jguht4z
zM9vRkcRiumnqnwuy9g/JtgtDuNgN3e+339F5o9PuJ2vPRRUhGmII3uPj7xzu/f//UMHf+26+dDS
9LYHGCiLCQDm711364MLis22fpIwTV7xqmORaRrrG+2NvjeoDc/kTfVn0gYUzLK6EiCRSPEZuPtu
9KjN97aw+BpIGdF3LAqKy9ygEYsX/luHGOgHd6Z1hTBgvkuZqF/jr9P3jh8/J1KLY5Bl5XNRz9OO
5ax5yuoZ47kBN6WYbDfahhP71ax4pm1lTlfman/U7nhNKIhFZFfsnLhs8FfJ2I4w8Rd77cxij2Mh
PTgZQpwgv0jZzN8x7aEPVfb8HScca+6l7E+9IjEPVevErHdTqjL74KUsbj0QMrxHRXYq7A8T8Gwf
bg6iISoQwF35ksU7tyh2lCwbuhDJZ3A0117sBDVw5NXk2LFgcLuQSUx+U6V2d71ANX1ZVN3+8Ll4
cWPOPUte5OfdSa8eqIsU6AkaheyqhEZwg4eJXW5tTTfEPfHhhD2iiejSNT8tLI02jXMiHg0See8G
ZfGFiixBEAH0Zna2d9Mo2PZM8/Ai06F7D5htXUvZBzsz0frfBDz/7cxyIPkIvPmmbVtMysWnvfnP
L4xIphjKgWc8prD3H1SArNiwBgTMevaj3huDHcNNnh2q6u+z8NfdoAbaNDkv6QfrF0TLKIsv8Fy6
F6+TLTvm0qSKab8B2ccnAzjrawV2ZQcBhJ1mPtn1seR3f93g9CJlIllJqUj0nhBV8YgcnqbVYykH
9t1Ybgj+zXYcV8thQtK2HagIlHsHl9neUYbYZya+GRrDSd8iPFwfPh/bNqeszDJ3uek7x6KLbGKS
p1B/+0ZF6w4x44UxcHeb4QzKw6pNmfradp2912ZxhI6Jp3YkMiMN7XF0j4zNC29fUMnc+WbXLP+m
nRfb7Pd/zqvt68ea4Hvop/F1gyLaXu0/zQ/nzhpgsfXxI1gw+C6K+QZFYmc84VbiE1iovzH4DcaX
fMloDhzdBu2N7lmNH302+wtbW0LBQ1EiJPcJvn2D14toPOjmFhoaWT6vvWRbF5rkmp1R5hqH//3s
+WcfgPEOP9Y22/bENpf58weoKYt7K028xxK9xJ7oTH0L6SIhjYaswXCoOWfibd3BbIcjpk5RoLp+
3b4RXOZcYbuLf/Lu2RzMS/OGV9W6xohYXFLRomrqSj/+QsQrHUKKrs3/N/OMz/v4b1++9CQDJwEh
idX33372ueozmtfZeWxGh96GTWv8k6eZFSINSflsrdl6A6hc35XeVB/Vp45f1LV79ttsunzaHlgb
9+fSmftz43UGbJ0qOAazVBB8urG+W/0hu/YEn3+ughJNPcL+nxPXBL+iTL4PMV04KhV/2hVs8e5H
ORf1EdxVv2tzZw21wPOpxjF+EQQCnwzf8C9D1oFq9z33QG+Cb71M9SuEy/XYz1N8zhZ0hnhua3+n
hNA/rGTgvBKVJBpjaIW1X+2WpVlTvFsVQr/UrhmWFG17LuUUv9Yerzo1gb7/fPXiwEg++pig571b
8D+OJHZeVt2Lx1IgBIqq3J52gejSD7MdCOwx0/iVJ2/6IctqO0G2r4Yd9mWESHkjTeTgoaw4+dqs
Z8kqquKL2YoVT17nZpgz8u9Qb4jbTVJ9LmaBQroXZFvLUlyneh4YBJT6NrdgB/ybB4Ei8e+vIYFY
1AwWOQOf5eDfygbO6mpEVdUx6bMQWSwmL1j4eTaXs+6OS0x/+LuujhTuA6VY++YCUX5YLc6kfVIN
GOQxXZOkW16Ywg1oQTC2wQk18qxiXFIfVFdsrytinvdlNsuvHP/qHfvq9GPMPGlEgetUuLbRN2TH
mnLsZkKFgq4fx1+oZU3CJI1VXB5Ki9juMFgrRhcJXsFlbb2zltVXPTcWEvEUEjxtNaq4zjUebF6s
ORpGc/xADcQRWdQsdgkkP2lrHY6StxYmfraVnNvvtZ0z9YLo7AQrcFoiTULuPrCXF4sAyshuSJjh
50kB3eS8EEi7eFhzMcgd2Q3ed9uT5MZOU3FprJz5QFAuhNbYIK3WTqTNDWwH4OItMKNn7oHseTDy
kqFUO9t+2GRV/jL4MkCmVnRuAlbFM4EB2ZwG4ZAShG4AUns0pnkrcEjivJg+JnVjqNyoXycaNdCI
aq80a1s+LkzzEOE7X9QwM8QApYT2IVxSCAx4SwYpI7Yx9ZckUcM5NiW3zmrl9ntqxxk+KcttiytD
4W/s6B0fEsWucL8ybnuvShxTiA4Rzi+c7Cgn6tW6ThysUBDWC+JtZggxhlxSct0t2/7GNjQjxMQc
1wdCXmM29F6OwpXa8kTiTUB/OazrT+i6/tnHFIJ5mhV3CETTQhjar/Neoq8i+tHNGOT0UO/hcPEa
ERlvo9NI+kgFTmGEThubLOfX8qfnISRtOnZeDmUrjPWCDJhyhnQJnTa9F5U377gMAr6ZYFkfPm+D
/65Eviztj//7f94+KuhSGe6o7Lv6c5vK3eFyZPzrzvau/4HK7J/8kT86W1JQ2JcRYC+gOLr2trn/
AwEt5C+OaxOdTW/JfGWjTf/e2Ur3F0RYwRZ0+A+P4++dLR7HgIET7kbm9CzkzOA/WYqwSPnbAemA
q3VZwLBDZwLN7uav13wxjGsxjwFdZ8HILNjx7OsOh03h3gVxK+WDdDsShiG31T34soDFD/CQzN0V
MVEi1AR4FBAUE6LAsZoVyn7EVQ3M4MVhF1hQ46CmRFVdFycmUeZ8r0jc/ajMFotJiNGZd4gqg/Rf
MVoNQqkmFYU/HZtAYn1Ku/xS5bX1005A1IRYlf13Q7BL1fRFF6+QFPlNwq5RAeMD0R8fiRdbIzso
zTs0o0xoa9sdx5DxNG7ptWwx/K22NL56pvHua5ewMRQsOIgDj6CIKTtn65ojN5XZ2Zuc8dd5Gxyy
qAjcsK/d9LH3/AL2faOXe4CAcUAoCKXG3m75xOwnVvJ6B+C7UWCm6VWH8SqZMg6VZHbfs3lSXwdo
UPmtI1DgYi7w7rgtQQUuZJQgm3QRgSkvTTnTAh1M4WAi8X3yHKXqiN/E8i1esDYb8CfGcNFx8uRJ
+BHh0CzwYxZ+/HPmxunVOmsUSqwRnKMrtXlOyOjbB24BWctERGQdPORBrDvIunlZeubKCVB/6Aje
VF2MocZ/YTjEDeyqeKUyLmZvDO1S8kjka8ZYzdMp4M6cQVsPMs5bXlmLdLDtep6snWDcraOAwiWi
grcZ2NKfE7iT/vT6Uu7TJCtOQybHw5zQQTqbn4ydhffQrexdKCGLJBKLgjnhVv2FRAfwYlVnPRhO
MO/rqXIvsfS4efrecT+2dOBI89LcQjxaMSstTZUCxF8YHhy62mivSbJAxmfWo+m1F1HI2W+xkmPx
8PebmqrdMZSv23tZdOCP1jqzZGja6DnrMCWbkYVGNchr7HM1Si4m3L5P1gRwdRlVK9/eA9FX/K5W
a/KeqrbOkM8bOmify57EcyDKZIcsKYCLsDc3F4St9WY4E8kALbuJ++AaTGD6UXUe86G89EgkLP2l
Mq4niM0DSmUNzsLws2uKhfTKjev5TVSpC6RjmMf90tbVctbEETu7oRF1D+3ZNdPTkkO9QZIpS4Lo
rEWRgwOyUJ3MvvIOdZJl97TiAEPSbsKd10Bs5s2m5NxcKEumoj7fCH4tycjT9QrAvYuEIUH/pfw2
o3bagnXMz8DdfLvi7t16C+Ltkel5N3qtQCkNZPb2KDejNLETuOjEEeLx9Mj4LQ0vuzWappwONKYk
ATtEwKJk2gKCBWj1owp0BwTRHB5XrfL1gYXYd+Mzd3j4zCD2yVZwblVjU5Cy/ajUIRnJPdUUTTL0
aYW+UG6L5ijjtq+P/I94DAKjVurESbQ8gQDVzVk4LooFli/CPZZmKmYInEwd7Kbtf5Li8NUZXf/a
zpxhfZoKQabhXKQW7sZ40ZHfGkyih8FkeJSLB4kMBeqODPJqnyecZg55lQQ3dflx1bZ/yQ1/KYhm
MLS+1haR2h6akTXib4LP7MfDvrSSLaqP31VzSCDJRGKV9oMBxxrC6JiWkRvk4qpxiZC3fXKg90a2
uQ5kqq0v8MUzfC+l4PdcyCR/7zsvf8MEa3y1+3JipqinnnWolLxrUk8YLwmzqyxIO2eiXPGhID0c
9qTjJP0V/4CkfjE2PTbdHKl5oeujmbpIRLeCEHq8v60Z5gutRKRxHu/E4EJ1dNw+2bIP2+lkdL3d
7GPI8ZD38K9gPWnqdiTHBeD7F4uU+Gd8MS+IoghW+s38ENSmOLn+7D24DkvPRCFrVSKFiRqw9cQk
gkIaJmWc7MAN6sc6HuRtWYlxIo7Oq6ybuW+aGxSKbn70u8b+1in9jTEKyaKKkFErsjIAUrtpMtUQ
jsTTjDfVFh6/LtbwWOUNQaUEoujkwdJT3KM3luWyLqfK9pSHChxSTcL0Y+DUuGX0ZP3WXf+3nvp3
9RQzdJrxf11P3ZMoTR8zvdXZ21+qqt/+4B9WRwn+GhOht02EITBs0+A/rI6bCgU3BbSHTzXJJqT4
o6piX+AGLrNU5hrBhpX4x77ADn5BF4d5ksGyjW0JQt9/IDVhLfDXqgoC9cat8CxTbFMIdwP+/Xl4
UrJbWqvWXE6OVxdLRG3DI+6UW0BYTCzOZrShpSMmp68Os3K7IBRDT4fuN2zo1w6c7I5xm4Hdd1Cl
E6XsJowQV/fI6vd7C2HpbnYxNwPNMyOZYWQI1wpWL5ftMCCZXWS0uqUAk2UP7Pe9dUF+D/8JFTy6
35VBoGiesQhxy25WazYvJuSUdf0aCwPrgsTUuO8DE382d1f3hKUO17b56eC29Gbm/vR1F58e7+bT
702RVESw7uNoTOtT5q3ZDxgRyfeZ2cCN5s98c5YmHyECYiVPP13l1qfDHK0iQQLjZjxvNgs64tLy
atps6VmTqhuGpcbR2kzrsQl2Jmw2KzuVXgGfN8mnnbNZ3fVmejc2+3sJoVCHAU0T/jLs8X7P1wzB
FUE4ew3zUrswX+vNUi82cz07mgAEBIb7eQ2qe7WZ8NVmxzc3Y36+WfTTT7c+zK/6guuWu3oz8xdz
6h0Egh616/3qpvasxNwvngsBoAf1TIQxbgykK+p6hBTAHFQ9WbBNQVv0MSQBgf+tRd0OYKDuR/tZ
l4U4gGD1j7iJckgEaxzfoJcF7mybwAEbpiyOMw2PBBn4JMe6sXOxSYv6yc1Y72VlPXrTPWOoOhpm
2R0pfO7lCNJ0qw3sTZ47vloYCb/ia9J305A7u6CCTj34akfyNIFQqaqOdq3LS1CC2Q3avH4ge0Pe
wEd9ycDSRciiiwiP/HKouyR+Wkan27uGU51mEjDMxlK7gnSRx3jszLvRGLwoxul3Zo0N7YTNfSVJ
cU1Hs4li8n9ZSExNfMqD2DkwRi5+oqr8bjGTOnBfxQ1kjtJ65CGnhyZrgeQZq6J4D0iU8p2ZSC8h
I7d2Hhqetp3lBVcwj9Ow8js3MtLh24oHOFy1ZxxSVGWhs/j8lAOFUjICxLZGKwNYnhrfaLGSM0O2
7tEp2/ZmQQt68TBGkbORLvueawErU48ddep4bnhs51C7izi2yBnCsU6zKDclpTe6KbbUbLEfl1k5
4ZRksiFrVlZLYn3141JnB6RB8ya2sVbpjlE+p0nqP86uJh9utxiBPz4JUTjzk8O1CpKeUOvUerZI
z8v3ppNnV25veg8YnuL0Rcu1UuFo5aV9qIOGiUGJTZG/f8puQdkLJGwtw5Eyt2D7sVBhaCitxnCY
2tt1fp6bzf5ZQo3k0+CXY87T42SYnqYskzP4mE+pS/Kpeylsc8pfi0L1ax0xiak9YkGcAWJX6wZr
NA2InyIesyR5rawsQdaZWpTBhdFUPJ5zA8hBL6tFU2dlmo/vz4tHPE1eU4B3la2K5LQoX76OTT2r
714RWIX7yncUcMWXo2ouKFBsXEV1TFfJf7hxcSbHnVxlIM6jir/UxehSY7LJItFQ9eAdMQfq3wb5
/72p/81Nzd5Isub+1zf1lx/6bfjzFf37n/j9ig7sXwC2QA6wAoKsfmMx/TH4MN1fmIQIliMWAGuu
739c0TbTksDl/0LQL034uqxNfh98COcXlP7sQKEY+L8FZfwHVzSNGYXAnzc0LAccjBQBJFQ6DZu/
6693NLWyMQGfN88z84GXyZBeSIT7d1+L8nZF77xP2ZeFumqKR2/2b1j9o82a8u6pbYwn3CLDZaTt
DrfgDA7r0Tgvse3Gx6nJUwbqnfE2elvWgNuY3Un6sUfL49D/3RMwudgEcWeFqOBYlpZ3JkPVF7fw
Xczm64B9DAw5q8LGBsqjOJv8lgMg35mU0EQ+wtBVlQzjGDgSHp3E9CZwkn3ffS19Jsuo07HEWpc0
0C6ZWHBq1d5LTTkc0lKK9qIkIczUuyREmSaLiGXB1lsR43rxmgXu5ZIMzHLWxmJzrmSsubSER0Yo
94kD1L1YMi//Qny8wWtqeYzWoxSp/ltex/5H4uYJSAcx4CDY92ljTnhssBeZcEl6IrIUP8JwLHQj
rqBRrAM+roBoAEb/5HtTdw+HCdngtF8bFIaR3+Qn0mfbV11nxAiUta1OuaH9/UxUxesycVRi30lP
LPyeEvR0/LLG/KYTdXPKxfycN7BpczjEoVUFyamYEwSKXZWkL5nOsFkvDHw8X980sr9K53F8GZKq
3gEFvbcrzYikngLwMon7Xel4DvtxfkUDMmDPZeep7XOii2c9KaJxAysnXVW+J1nDMCguxqfVH4cQ
JUZ1HPlKsXY3myp/Pg4edYMv6iOo5sdpzZ4p0thhZupqHRpCI4rkdkWftatG9dpUw6WamvpUKDR4
TBwiWmwRDpy+V21rQinq1vs0AYRUiOK5xYYZjb3R7Itq+gGuz4VqtMb3cwCLl27QCAO2TeFgx1Gx
jMVRThJnLeh0QSkXTROg3gQsButfRFjxWPY3vmJf75Gwcoa0nBH6sDrhaCQpaeyM4QB7TseKYcW7
n3ZAV4l+3LedYzyiMZGwtpIfiCObO8cgNlJl+ol5RXnEfMqmMGuzU11sBI3MdEMEithk4EUdFHPS
M+dCemA9FBySypE7JzWC4+TOP8hXrc4qVVQQnB0hlXBG/IDO3hvgirvJqSuScKFABmY1wKmx2WTU
xFpgN2Cdb07lnioIroPQXyynNkNydp+NMj6v8KXCamiZ2CjjxSHEl6WZzi9p5yBhbGX2c4O8/Qpv
fpdbClPqLJlzTp0rw3Exi+tqKsYr11W88WPvdxHeV+NnAw8b+CzUFTJwPd9EbplPK+HMlTZgzpvj
44I92nsqZdHeu6YgU7qL++y29YXLBo90rJjI4AFi/ph/GVzS3xU+s+RIVqq41GPS05Lbir+NBwv/
UMztOZadvTPjabrPSWKm6+WxSIKJMRCxHMtH13Ko7hNPLhcUifVJqHmZYaDyaBGxsbgsZDp+2k1P
PaufFjCIjIVHDEZLj2P6k6wvUBX+HHQofM2unW+F7wyvg8PTQuqcBGNkTZV5ldZBdQSq3TJgMsTR
FAxIuoIZy5K7aGQaTgkNlKsxE5hfNnNM4P1sQ9rO3kPCLY+UliAC/PWbxmfw7JFlfFvmBokQxYtY
MzOsSwKPq05dlNHJ29wURQSWKYddlX3Eg99HmWiz56rPUQSiWc9uRL9MNEVoayOKSOuehfNXoLqs
c3ArbrKtsrlYARx0z56uJxC6j9IOjKcCdC/jNgedVEFCzVoFCArGJOU1hn/MkhYgwGEpF/PGZSi7
V7EamF8oxfwrbQg9y9CfG+Zy7Le3FsGki8UXW3jcwSswujIlAGG6BzuewVMYTrPFIIpFFpTKzl8x
asZu/YBu8bUeG+ckpyr43ovhwdMS2uVQIEu3ffXNXTYWpgkHS9jTmSGSD4ycxRRzv1b9jKmk97mh
jCtK9RRPNPTN2lxBaDQasWribxBPi/PAX24zqFd3q2FON0sWMA1fRi8iEJyE5YHMs8kT4x4WZ3JM
A6lDE6nILshzNBtWf1yMpOcMVjfByKm12gvbb5QoOxMn75nBFNnGMzP3xJofR3/FKeqzU202dCmf
LTh1Wh+NpYMFYE7xDnm2iQw/qL4vGwbVRPu8Gzc0ajsUVOWfvNTAF8MXkPOk/fj01Z0sg2hQ3Zm2
Egub0f7Unfe1yrxmvwYwX82hBeCykO1oIDbap7VOD+NY6YtRdB8b6KpU8Qgve9tWztjfSuHVd4LK
BDgyv9jaXPIDi1PzvG4wWGPDwnYttgPC50DZJXSVDPlIzyvyklV8wXnXub+uG1623kCzaaF+FU1R
XLHFo/UgFy+MbaS5MAyta56B4cg0PN3NRfETdW1w0O36a9JufLd1I9oy74xv4gaLJY4Hjn6QG+9V
izXZLFV/HxNsv0s3KO4s/YnLnXafqRzSXudnG3Q/kCqwU3YoGCYtXyqWpWSsDN1z6fOvWnsJNwlo
788edeEuH3JQ7ByirGTm9B5sUv4QiKY9m/7G7i0UXwNI37FiGclh2nBqZ9OLj/VtJ5X9hCgHpnuC
TTnXPue6m5XveA8E/gjIwaOs3EM+ecsOrmt9GPK1uhaWmPdqWeVuspf3IY2RUzKdCeeAn4FY9mJv
got7Hkyx3hc2Ow5uU2YgYeqNGqxa0fLjT6rIX3ntC3Wj5tr/0nkOf9Y2lydcJWeiFOedUQbJwziU
871DZvirl7tPjuvOO/jZt1I0w8ke/cTe6TRHiznEfNFplsqvbF7nnWa8iYrY38s1dgWDGC/ZchLh
g6wbFzpzJ1wrSSM+HJb6Dno4rHeitZq7yVqZuNOBnjzt+L/OxWC+Ilr/nrexultN2yAWdEqnU94q
+86p3GlvrbmuOVlbNcHDXVBeTAFrIMfhiTCrR4AeziPm5sHccWoalBiiFTtHDuXPobd9ub2oCb9T
6Kebz713j21rObwyNQ4BFC8IHokG2zR7if3UZmQ0e8q8RnOYfyME1HwnqvFSzvjHo7xJk12X2B+l
OzhPtZuJ7yDUEU7RuBLNiHtRn1vcl4QcFCnTHE0G+XdzI5u3n4zzjXYec3je0GCXR5gH92g6rmI0
7F40cR3ok2WsZLdP7uR9xIlX7VIxeHcBOMgXp+3ljTVmTtRXc4kO024BU7QrbofOq/aNspvH3pZ9
tlv4Km4BOEEAMeMGNL9qR3z8va+qaNIDtPiNGw+9Iz/EG08ejRP6WX6uo+pd45ijVa+OHeKIF06z
4oUrbvyGGsR8KnIVn0y87mfTmal44869dDVKjzAzhrjAQj+Xz4nI8uVqMhZcI2vaXwK4SswsTBTt
LQGWF7FR9dNKW8Wm7mgjIhsgGpog+BWLjRfTX8cPxKPTyR8aZhd5ru4k+tKvKDP7gvevyVVkM8so
KodWnepqfQ5I0Wpy2odhBsbPCbujTyLxbA1aG3tp2S7TPst5H65QlFbVnqmD+3WO/dX9loD4oVf3
NTerP8qAF7En7QBbKk4n5BHurWsX6evkzQwYYVA8lWu9WKhVauOmrHX2GldOfQC+QMxWteryTKqB
GeHRSfxQgvPy0dET2WDGOn6Y+EdPuuJ47avgCadXTRHWje/1Fv5gpF5+cNWaXPWf8RCfSRGqmqov
VsrYDBWsOM4+kRL5Fi5BolUagXgrd62xltBr+9Y5zFsoRSmdvo+cNa7QHGYFnDYLDGe9Qr0UeX0a
PZ3ci9aOl0ffy/vmTiM6cqIAx17nFqw5XUGxgDhwY+XAIRCiHT4oNzN/TLDddrN8gjzBupRjbGl8
rx+YU6XEIs0Eg65XpZbGzh1ya09YSN1H9pByjmofeH8zuPZJpYR5AXyqxmidE8BLjANb652hdByZ
Rh4n19m0RdLyCPf5HkvUzE5wnFpMZt7M6aP65npSRnsamRk9ajTNuwrfz3F1WFZPajEu3dy3555n
MhqVnV2jJst2sRi9nwg55XezhuKKqQYb1lFX7ZehCOLs1bIkC13cPsBDEAT5KFO2cFff/wFgJzm5
pLQCA1Gpseuy3ntmOGTu0Vmucs9stjgMYljfTArrq3lpnbCkP0ZjbR4b/rWXFeH1Q9tm7bcUrdLj
PFvOZW2zeYc0rY2c1GLyY6WVvU8KBLOM6qgOEEwddcEysWfheCtlV0Wg8uTXgSpyr7RGR1tb+T7h
rqM4J7MBwZnaj6V3Ntp6ihoa90eVZMGhL0zx5rC+OpEz2IbEgHUMt4CWewyPj1liT0iiIALaWeXy
6x3S+b0MiDsBf3lna0TbiBruJn4S4mVMsWuFWE4d/BZKqTG5LmhpNZhCOe95brpDG2hn3xHrBFB3
LU2YHFm6n+MKblbJNR6jQ/91oKYnQsyrTkaG8tkAxbCrZ7dmE1aqYWeYBhLb3LYPxNZDwQ88407Z
64I+Kz2NGm6sBimAS6W2eypwo9wTPJX+aFtX3sQxgmxCyBIgEHj2ioGDf2whz6LM3WFkJAugUBOX
zrw8oPkNbied4LIhSvhUuBm5eyw8Q3NoGKyZ1r3v490ZhkETG7klR3h1Tq7EQmxza3X+bcFGDw83
ZBOrjGWYM359JWrFCzESYsmusrR6NdrhlfyPAj+Xf5SOtkzgcdOHqblY/cxczwu4R74/ZoTw1xWB
3Wg9SZCxmT54CbbStXwD9J3u/x9757WcN6616StiF3M4nC8rB8tyOGHJss1MgiAYwKufB7Z7jyXv
rZ49c/pXdVe3LFn8SAILK7xh4m1t3Hb5iPTcRZ4BwVp7uHT1R9BoZr3RON5j0Qdlb/E8UKbo09VF
giViMQRPFWYvmwYrwy058w/g1lLWewnhbWSw2V9i09CyWobo6NjwF1zpF5d1llW39B9sezf6OArt
J6i114Mi30bJzd31pv2zxIM4S/q+Rr56Wk9ZGdvf5pYSrURA+dT4CjVcq3eR/Y/oCAj5rPJFnUfA
0jc27NJz+lq7PNcCUGnYcwBb1Tlcx+lurQAaZkX/hXqNVEy3BSymtWzO2lFMFWLeg/7AhAde6DRf
eahAPJJKPRRW328jhKIu8tCbt/2ykjh2OYzatYf6MVpy107j58Tpr2ZHexv0YR5bi5AHn9g/iFDG
2znw4g9Mj5sNGleASmzQqXiEBA8A3IJNsFbuRavzy8JqPykRDSc95O9kCPqGSHqYNdlRm8FFyDv3
k5fjCudNrf91QKtmZ2cSfIDVPC4QwL8L0VjrIWtjZr10PUi+FwFUbw2be4SsGRx3WenslIjTz5M9
Voi5TBN+dome7xHNWjuQEEB14XTO8yEYfOgqCHE71DgL3gkoFt+3BCzM472gC7m9FIgKkk3KYic0
+9Cu5LmLj/W8FvBjdZbueFUiuqrKQNxMoU9i7dCjhv1ZFc4GKawahaS4doY9LvLiGhnV+Iz/4VtV
G393QbX6ZUfwQKrpHAY2eMCAwxVC7XNaiRFXT6tCdCQcwbdHqBIE9XK+FhFSWbbzKDmSYLjhZjS6
phco2myLa2m0iZxwMnuCLM8gddyATDgbXEJCuMhpPoHDOEVT/zmL13PATlg2FsI+qzLrKk0Gcp2a
+QveIOfCwcULeYloH1VhfS4C2n8IKw9bLOR6DDAWd5v6Pd7z0x3Cnl/tpmDFpzrYJ0t7B6ofF/VG
R2dQQ1yENVV+pHahgbg21s3s+h/AxAwXKrXEbpZhsc1qQP65LTLkjRrntCDZsZPBOJy1KrPpXKgO
MRM0lOY0uRuRHz6VKS4Weac/V5lD50xp7xBVEkkn5X1Jg8l5N8dBtQsXPcstXlbzt2CIpnfEPhwn
wgDOKyrM57KnGQV2aeukFoqWMrbosyDbvpd2VZ2SsL3yVQ1kZvX8cecWczLuo8xpog2wZYCenI9O
snZIdmnxNDhd9ylAcMAYx67rM1YcCHihx289dYCObiK7tk4lB57EiCla0E8q5SVAM3fLHLrMd1Bz
z6UFNs1rtP5CnsXWykTzVJROfNPNXgoiIR+frSL8nklmbpskt4bznjb03br4KVJh0dxuRWHP7+Ml
GG9dN/fXa7nEHVqzUdMd6YI26C0pTxjPH7TZGRxHSF0UC2CzAoZuwSwXhyQ3p15IrWunkAFTUA6D
U5FODzoL3pMhBO967G0hvmt1Yh/ofSgHpLGT+HGOMRKFu+6+yxCG3IITv4mdIX1qFuQnkfaKmai5
brGrKdKtC7DaoXeJjcCw6dWUX5BDqOWQoRq1lWURjijpEX82oWJUjA/ovJgmEdiemV4YOU3D/K2l
uCG9mzuBXFbYyUcp/P4CHbIYUVWMZqGlMuc+alQ9t5q48CnsGFVdz0VgPwD5csJdjB/9h7FCy41t
DNDWo0GN9l+rhytvFONlxOpBO1HMOMP0bYE/ixAIRdLg2Sg5ZmRMDOY2jqsYnEnEgLdgypxPoHGj
z8z30DKqxlKdRAzCsLeWnqQ19rFSyax62vqxt7wLRoGrMSwSgbSStmPehJU8gpRHiivHrmnXZike
8fTU9L2upgVpeTbafkURDlHIgcJ7cTmiSUEbsZs88Z1xZLtnRHCHmjnMXaZ+56IK1S4QI17HRdrf
LdnkfihLMvBd4Jvxpwyc26E3omJ1P8X3QyA5T4ll3W29WtMHCxDAuQdecvyhZnwltaU+VMKyr+1m
Rjxd4GRB8Tp4dwNclfvESilfJDPXC8vK3S8o6VTnaognBpEezVCYJ+zSriWsbpogxvslHnJ83zAu
ZlPOPifWONMV3HgyycprOvwGpJhIr74oHVcHDNHngDfdlGCCZFbulmq4XbMBAnWohQtislse7DXK
zkufUNnWuf5eg875lDoDidoaomlJp0Ne50lSZJusLPoPYxh0h9ni1M06n8OMJbWj2Cn2djaUR2HN
gEhpjV7IdInOptlWe4Fp7qVwAJyQ2Tv2Zbd283v0CRQU7AVhKHQeALhLPyWcKOtOVL24RgA0PjW5
k+2HaRXHecAu0BMVq8SSs7qKQXZ8pHuLyiJE9Qeb/O4S0P18GBXZP+3MiC6NhWJqDjYBDV3wUswy
tpkYmqtRJc/W5CDv5jR4nuWB2lnMR6+Sia3hlW6+L3rD+HTiW7wal7NZB9N5aEUrfghYmfpIHLBo
kmhLv1meD0g0XEEIry4RqPqCBwH+yanGMSrWT5luwGj5AGXTuKSt6KQNvTKpH7EqSQ8RgFu4k+DB
LBb6MZ/EsJ0k+vQo6dKz6apWu9iiY8/uLc4Oilm0UUFHLguf51NRY55KqbBCeFtClBicYbyNo44+
sINA8K4N3Km+XwLG4zrnsCmDqqvoZ03VpRX1uzlgfEOP1SHT6PKDU8UrBM71GgYDf26nd4O36JsZ
gt7GnarHZHA/ehnBmqHvvvC9dUen5ClpDe0zY+AxM0rfoYJq7zCj7g6uU/mn2W9AQJT3awwNv/MD
wA4jjoZZtt7gjgbXsOw/oJ9Z3gIFOaWWC3atV8cJrYvPFoSzrYtpkmcDw7FXMmSjWnsEi5Bvlnh8
apKyv5vH/g6Oea03dhdztDumEMxr6yaGUwBMxc3PerBtl/5kffWtaLz6AdCUxP9NwRiMRk/if1Rz
YNwVlstJiOVM1v3/UNHxkSiU/qexNTh2Br3/eWz9+E2Cl3kB8jf6cfydv7Flzl9IkQEC4yX/RJD9
C1sWeVi8+kDyoaOH9k+a+t/YsuAv/sB1mYUaf1cvYnb+a3Dtu38B/scpiLWG7n3gR/8Ntswgx36j
tkF2B96WRHxCLmJm5C+n1gA9xrXo4uAUx9TTTZ7HG/RivM1vz+Tf0K1fEt4ZsoeOxz0a2nXCcNw2
3/+NvZiOKIZ4GMifxrJF3GOCks0kKe0+t+CvbpsQLZAa2RwUB1ckkt6+tnn2v9/ij4sjRBQDH6Ci
5GG/vHiOHP3iVXFyyvykq4hXw0xfz+G6gV3dc8B0T1nSCLDvLfOVYdXFt8VCa5QsJ/R2tXRwzRzR
g1ak9cj5Wv35WHX5zRCXJsepU+baWor9QEi4GocovW8wJd/9P9xEBKjACbCKYiG9eoK29AVusCtD
jhVVjcVHu6axUMgmAdTve6A129SpEGu3Glxw4FwYgWlYyvgaGB5AkSygq11U/OnSUAiusL4SxmxT
XCGMkUwVI53ZeWiKUSEsvyrwAg3ycm/fA0v2j/dAYwPyHNNrGmOvqCFI2o8jsqnJiVbsvJNg4qjU
pD5GXfn97Su9IqH8eOP0mz0WXhAHQEJevnEqgcEMNpLT5GU2qCBExlUY9+dSef2dHcDrfvt6rzbR
j+slKF35jJPNQMqswN+Wt+sMbYs/JdfLCnlHdBg264jozttX+TfPzwfh7gUUvbHrvZaHTCThop4t
SKcuepygGb4LL4G7PsQPb1/oh/znb0HB3E/gOkg6svG8P4NCmYGzmVmDJxf7l7M1GvCZT1gzWvPi
dAMknB4c8Eh08qt7gBPxpahDJj6lk97n+LlcNEHQ30ltmLzhFAz0gAqbAhWLpVNmJNK6GjGVgrX5
fsrQVdmiLexjoFfOKzZfGRdZhLFSj7HsG9xw+DCHa3F6+ya9H55qL+4SQIqDu2fkRuQ0SfCKUm0k
esZ8lctpxvWRlg+u6Gj1D2e0qqpDh8gtnMTuO+48uKgbP3UWb3nCdX48TMxED7Ro5LX4YcEOsGzX
w1744MAmug4S7X+OjGc747u9dGb3nZM0ENAlWr1bSfL14NpVcsiROMK9Ol/e51nrkvUX+ojBtFNO
2WfCWXUKFd7x2egG+EbCFuR0yU+NSMl3s7A4QZnQ28440OdAko7w/OIHzDvLs9Kib9A6fY51cpY+
5xw82wZc65lvvO0FesH9ZlpxvAfjWON6iEGmmFxSVx+eDiYETOGUg4Nyhd/1o4LoU/dMGinsrZsg
Efqr1ogJx3Wu6MEq7xikPpl7GeYu9rEC0GS0+ndB7tkPYhyaD1GWV9+Fk3cgjexEM42SOS4Oc4cI
dwd79mOE8NoualyJ2HRSn5W6XPAkSMKbsK7inYoLrKu8pphvaNn1X2jjobPfD3vYMYCa0+qbxdTg
CtyThQFkgdxaJM8bZCRgQDk9nsfJ2TJZ7XWXCpwIFqCBZPV0h6yoBT9SXprnuevqUmy9JAYT3SGg
5jTepwA3jI2/5DCesFW5hAWi31t1pchLkRC7dkYLqwU95WhQcL5Q6s7eEemi+GyEdfEkcTu+LXlO
jK1tRA36aPAeKh/9B8GKmGqUwXvPe+p6SSMhd3FQoOnfbExm955CdCRrxgkTMXCM6pYuO816POS5
d+emzbgntk1nCm+ADQIjKt7I3P3qSd45zTVxp2V9VaBGskV1rsJYroYURSMbc12kv6RNaejCZLEz
ny5ssmTvwNZcpVn4OV+0fcpRpbhPnVXvSxkiZFEBW2hbujVDubXKMHlUKP4fPCmZNy/jjC9blWy6
aYWAi0XLZizxAVATsK6IqoUQBfvHaX5YiHbLhRVnyZH2agtINU5p9+aaD7OkAGsrf5tXxl9O2r0R
4QTOsuMYqlA1jcMWiGsBGikL3aMcBusiWLvuUlmdvZVMDJ9KqiqUr4YoBmwQxMhbuaW4WZkNEKYG
p7/Q2vHPGNbXJ8cr7FPUsV1CS4NBRv+Avt24x9stZxic9xv6Lel2scv2WU5+9rHEZ+RrGA36ozfJ
+byhzXBWTYkCyCX8S2lbKHGpikZMak9nI7izG0vTsR9rzXB0w+xvcPCZSaK13zl9iDa8nTWbxVqX
9/5ktwfPZPd2hbEr0BF/W2owVYk3Fkcn7NvLgs43fQL6DEHHl2U7VmJXhEv/o3G4C7tRH60wppky
2NUhLSf9fVJy7q5tndW7lB70dp006KQOZItw4SIXGSeHsyLY59qj2NMRdvfcsTyPQugxMyrdeJ/Z
+mJV9vAByIN/47JRr3VB42xXpVD9gNd00zfEGmeIeTZlG7J8zzlTMizyiujxh8xbG0TOg2WTXzA8
yaFOovmSTqR8MGTsTZglSM4BZO57gMcIXy52WN3Xmd9/LEuv2lX2ih6RRV5oBUIf68rxzoChV3TG
kvGxU0ONPkUwfF2t3D7VJVr/peQmEZPAs7HuEB4A+HjS2hPXXr6m59EgOblm2BXb0KM9WMIk2idy
4s4rBI1AeM27YPQQ9Fcr9MzAz27WSNAvZ/TF33GTGk062ofbUXp8EnyS7OM0KW4J3aVso3BYh5RJ
O3jvJXlw4xAYmDcNlHnKXRn/hvU2icb0nFwlgAsXJkC5ank+haxXB/Wk7+TA02MxSeJ65/bn8KIm
fNsD32XC0PRH7OuDCwZ51r3mAihPM0zHwYfZ4i6AsPcZtXF60GhIqnuYifwfYLZ7+JM9qiy58xFs
48WAGydqEX13HEqX+p980bsIFvuoeoKCA2cAe7ye3iPYO6TTwT9PdYmqmpfmmJWMD3RKcb1XqtiA
ZAj2ADBvZdpCKmX0MB2lmHR+5PFH1bP04z6/lEPTw9PTdNVB7iB0qRpp76SH6v5lwgRYEFn1ACQy
dv38GgzX0qxnP473/8FZ/1PBCpGJROY/F6wfNIyINnuBtP75d34VrI7t/2UH6MKHNjk63rtks38j
rR2Hb9Gapp79VZT+Xq/Cg/qbRG4c4f6uV23DMKchhoQNKSUY7f+PepUqDus4OjrUQL6PopBJkn9L
tdNxdooAoZjrsfmaDTWNki+/PY1/U6qarO+3rPCPC5ja4rcLyMWrG7FwgbgEH8ShPCZPxXRdJIAw
vr59qeBVZQpeHbI+uj4k2VgQBfarigjqoFNjKedclQHovxIOj+V6dgjqLXarPvg8lEsWP+dQapVN
tuIOCBx2daCL9tz2bIyhviLQEUcZSaKf20l0TGVmH3Xcjt+K2AY2cDlKSJf+hR2K9awekjKVD3FJ
gA99q0sfdK8OpVsE5wPNQKyeOtxddJn2rdq6rZsBxZNsYXcKLbKiGRYVPeW66fMKt00EoVCZQxU3
6nZ8CA4pRvwUPu3onktHFO/1Uo8XddqPIPkmXc8HzDdqr7mIVFDuApp917EDS+Uz5zgAXCsDyxsr
V25Rg/a9GzpdYr0oFQOPdzNgZL/de1MGqUeYWAuEGtCjLIbj/0SN/5s2F3uetfefg8b/qp+G6gWB
8uff+DtkuAmq2y5VVBx5KE+YgvtnyCB6/EUB6dB7CSCwIUHxL25G5PzlMe+wUZ1gExiVxn+FjIBv
wfbgu5AefcLKf0WfNJKOv21p83Ec12Gugdo894lk+MstjRaBbprR9r/l9irK7/jqpZ5Ns9e1erVT
CvHfx7LOCnUYNJt/Oww6CJ6XtBbtJayFDvsdYfloS1V9jPMxKIvUMMTiGkPm99JGkEBvac+EK3Yo
KZMWCxDi1BsN8HrUQIWLchzcGzpTIgKEYTNaeJ+jaCf3dTlmTCZ8nRQumedoB/HRwwejDzZLUQaJ
RI9lIVU+tFNpkKcM0EkG/qF34bzklgK0s2lYMIXmXzYWuL2XTweckUNStQbfxDBPSU0hHOUUKBJC
anWVZEHCJRcHVePvfSgL/eDTneSjufkouZ/WwcLl/W9r69+E4B+doP8Tg/lIUUSjK/Jp3iBokvxh
llCSEHSDzL46tR1UV+DmM2M4PfZkVbkVFnO1aaICpSsSEBGP+AqicGkGtIiZP3VA9kgtoxEtjvPa
xvc8369ptgKhqhdexV4BjV4fcwpx9BnDterD6xWzIn6sSfwh6CmOhhFo7ts39bJHRJeXhxz4Ccos
NFwRYzFnwW/nSppXS2FVdfvNnkHIvwvawuruIa526+3bFzI8o98eHheCiszRGAYOfSKu9/JCgBb6
ZMXP8isdX9fx9qJOKx9BFJsdvnhR6d8gyRt4OfDDoLYU4m9ZNN1XRYBVyNuf5GXDytwyEjAcWE4Q
e/T9XjdeHSQb7GQpw68TYPrwmmy+VMxMGwt8/Dl+kKDQ/tuHHHghvOSAZB6lS8gkL+/dcjIr6urI
e65HSmuGVFpYE/hqSLZ6/odrmX3x8jkTuHyI3yx42tomTfr9hTI9rytRBO7XBe20wv/mYl+WA6AR
KK9jJtibR1zDccWh4+3H+sdKQleHfjb/QIsg6L7qbtJ9G2RSVsPzYtPiXQE/1fGEZZsRCvuHe3xl
cmBeYeJ4LqqDgcuKSl5nKCXqoFRvbvN1ACjZRCdgUu372lXEKNRlmFOLmyVZU7u57Ao0bex9MOXV
+lgOkRDepsEyETSVDUA2uStLuo3U+VPr1pfVlMlYn8bZ95GXe/v5/PFiGIsESBrRZXZsB7r4yxeD
DzC8HNdun1utJJ9CWklVfp8cDW21w8uO2WMKE0r9ox3Ony+G3jwyAaBHcFaCp//ywqll+u4ysL6s
AYz4lbIvKDDEiWKRSxvNfEb8NQATv4qedF5nC4mTlDJBOcZa3OmhaNaZcV4eL6v6glGYMa1qQ1df
4DHoD/HuH57SK1XDH0ICUfBjm5BOMkl6tVmCbBayGWX3BX0ahEw2jHrVejuAGGJRrdrO9HRMBqbe
1xZyZ+ymofV9DoM2BG4KSBGhEP3MAmzK7yHQN34DBpkV5eXk4Kv3/WcApnFGdAkWujcfB6TPUxT2
m6hipeK0PvB2Wolegdq1HtAj5Btx3iREW8ADuKBLDhnfpblQy6dVmxRiA1ANjD5uG6VHkLfXIuzL
g+v3DNo3fY7B7y3YxrL5Fs4wsx20ZNNhvWX7J8HHFleb9VEyQOczOqJMWlRK2tH5yKAaivp+hEG9
Pq4U9NPDJPtwuif/rvnZvC2JIJs8B0vS0SBZsLfdNEx/MWsvPWGx0VPQ19xMB90QNJ7OWxjlm2Eu
XX4yRDqEHyloIzXhMZiWXN0p0DkcZroH9KS2g0Rdhp5blnBpC8gRP74CSOBqVqZFeO3hmNt/6uMi
mE6pP/XFVe23sT7ODu20C9hRejwfF+RIxXaJUxP5Cmyp9UU8gVGtgLUjeltBB0pddpuIewXtugNN
DuDp1w0EJUP4eYNUSmLcCsAC8UADu2X5DUtmgljdIHOFOu2QhvwHEx3dlNtBgGj6+3f0orfk3qP7
iAgdSw49FNT21oBnMKKExKUXkRMccRHgnrCmMk/Vpz3EkzMiUfzAPCtAVm0tR3x9nDwxV/QoBcrv
mtYJj0XoCHVVHDsts1y6RHFqeRVNCnQq0rBs7qGsdlF0ABNrlosISpc9hXNywqrJXIh6TBswbOFv
QalJo4PKVBV755a/FPq5bxB8ESjETCXXDwiMTvouru2QZ7JGI+OXM9hUE0gI1MdM7lY6i8f3MMOr
zU2UiQiXq95LpzZDf8IQ5jeROxEF9nKFawHvANlQPomk3cJXWez13nSeDBNmMLsOjSq2AhrMiOjz
5lXE2SXdTvGRYHGZC81jaT6Ln+S4cG5hSrMFddxDgd15a4gOxRTiCVLQjy5ik7elKE0U14MP5eNj
Mfp8sU08jWj3pvRRRKoxvaA/+31E8YLHuYK84DfVpIDYjykQZtEBJKxZoia1nh5EjJnjQ+8APgaL
WSpiA6njSpbhzwX7XEuNOvFmzUFpPJW9J82WZurKL0WbzOFNBLiQ8h9cor3pIYKzzFMAtyUGfcJH
Zyibq4mCmF/YS/wn6aSRi5lVDUJPqp2oktUJTgDkgwWzXPuBjluRTDsURyITmfI6x6YhtK0DjelM
eAdV6cy3IQqvmFVnky3W20DrheUfD9AjQaRDDsFks9dzB3cBVQzTKreNqtw2TEuvuOmcvKAZSK5u
3nBb0FB1DnCLhsnCdtmuC71ZZK+6YbvUNKfniyod0IYBCjLwbno/huf81A5Oy820aamz7h3DoNRn
JAFhw7jAYuAMQYVATLjZKy8rdQ/CB0IbECvy9gXtahdK6Cn1SnRNqMorwmz4DMPM8nMTbLWxpigX
LDPQC8nxtwVr3uWjE12rJRnM4oHhZlYikLIes1GdmnVpj8vAGkq9Ar+aC8BMK9/r3WmUqBoFHqFy
6Fue0q6peB/tZrEtZ+yvhxl7mfJQwsTgLbWO73IWdLpB1mOb9OideqivwCkn6hQwlKaDrcTMT1LC
9HxPYUtEXKpspN3uEgVdRbFCRoxCNsJfaDRcwBsgOkw8RfaC4wIjWzcTelBQv3j7vUaZW2es9Lge
Vj54vlgjl/YdGsriQLjkOJq0iDjlmxQE3LCP/docskqNPctxQR6qsziUpSY+6Di3/JsFXzU6p4Qo
jKJFr1puKe5kJ5HBcU2KZYBZ+pl5GdXIrzqEqG8eztz1XsdYQxJVsWLLSzxFUVFfV/gDMXTyXZ/O
bQoWCfbPuxRDT30BOr0m2k96jvjEUQkIbTqgNhexsctxJZ0G7j6aJ/hrWTP8Mt/TPmJlDNlA/fDJ
w87ow20RdePQcixWpbf3IpnIeUMmmtnsTwt7PgXmMKUfDwvOiYAjF4Td3YC5o0KnZXV0+Nlq51q+
s5ulfkjQ/QZdKWVf9Och/jIVXf1pFM8IhfXWhcwaELMQFCI03FpR9J8LYu56QDm0q7/6Zb3K+8bg
Xp9m5sbzzZoApdrAOlDdBejqWcAVQdw0ENseXMyAbt+Mltq17AHNwrBt7AaJ85pjFdliBZ2j5x1J
gvwS92vJKTxJH1o5TA+T0q9y1vUGAb/aTTZCWlp9Slxn9N+FtdI+Njq9Xxmaeu1qNGBEwv2nrNM0
U/C+OcnqbbTW87rukqJebbQoaYx3FwubYwSAWl3NDI/FYUqizNsFJGjrQwamruPgCxVgfK1RI/N8
5TpbpksJw7gwU0OyszrXSCtEEZ0sfFezU+R6igaZPa8XKRpl9tGZndw9pGJxWtrjUb0CaU69wLoV
Vdf47zG/gsVCty/Sot8nnb0sD4taIMVag2qte9/yh/VRtaxqaExhKN+v0ZRBJa5VGElxBAecrQsY
j4hZbLKsdXVMC1UuhxWYIzTupOo8F5Fi+YN37zRl3H7NEe6flh2YUd1/w6EFoMZ2jEQXbVxvCOg9
qhRHg3g3VnaA11TaWFV4DdbGqqrjFNKXrPNveYyeAhTGDo9Yt9s5AXTMcB96yrOya+lyM+Xtr+zb
1nUaOvczYgMMuGa4nxxLovEaEbwHpSiEvxPpLNOJfMrOyFFwCgzIxlJ7ZsNIBpWsf3QDSzIo6YEh
4VhJCCRs7j426aPkAGc75H5oIhwwH5NhFpZOnfTAeGXOoNd6g5jji7XPLFLSAAVDjp4gb0pOGdUi
H7UeNYJLKj2MQWfylHCoTOUQlQ5jIzTspqZOjmPfFOFHRCDNvMcRCEMlxwzLhHEnxj4gTAbDQGYf
VxZP6ei7AVkwms4mi4aeIIhlZYzt+ozX1JwCQPUaFA/3OIGEq3dKfLcmJWpd6mzrDFVEmxslL8FB
A8JeI01AbGqXM3qOPZ/UBGay4gGJNjInZ4yaOp9UZnnEtTHCibr1Hfr4Pd/r0ATll9lIR7KXhqCT
fH7awyZOVn6E4OoWRbGET9SmYnDkUyITk68m6US0cdUowy8z6OgOF98yai+zrpw4FpUA2uqdtyIy
KUueKPOMVNeGyvmOjJOukh0QiGnE1NRp6RtA50AQBMimLQMePzEch7Q9LlS0e8KhMafUrxMM0SGe
Y9WBp1fbMJnNp3e81OJBCnyUku6oCziN3+vR4sESZugci+04WHB/T38/ibVnC21G4a1kpFGLedhD
16gQKmKF0VWMphcYbR5ZYZMH3AfNkgYfgX/xYX6+Rg5Mx3mk/BvVQ9ynC3fsISfLOxqHKQJe3GbV
BN95nUs7TT5NFcp/1YmRf9bMZz7p6PSwRq7JYlEYNc0nKcepyM+E3ZqkwlZlQQo+u0hnKqSdexZL
Q7/OWbbFbMtI7aBVkKVkbmqy+QnpRxmcoE8MU3zLFNftisswjWw+D1w7sw88j3k6YI+KJPOhHnyz
RfoGi7frtS17fiDFHJBEzUEY8WPRO2aBeSm+fe6xdyMQBrvs5+maT1PGoQmlgkR163mCLBD3epNv
AqxiPaZ1iYMMap4ZpXa6GpW6LX9ufpqsRK63cx1HHJcONF/OsDyHekRDNRwzk8x7wnzan9ujUkB+
H+px7nipciDwNZfeQu//8xTPwKtOASoxEbu6Zy3U2wI2PvvMl75Zu3XrJu0VxvDZpHZZPcQOMHbV
NB5JLQpSvNvRmlBwRw5Scgu2mArTrMBdqNwhIkbJl0VJIZ8mORZG86MaBaxTakvfu/RnR1UodGKk
Vn5vbNcUgaUIqNhsBwEYtpGfkF5SePKelQ5WfeHNMAAvwghj3Om4uF5fPU25s/BQ0p+Zz5DZE7nG
0MWSuy0WFFv0/ldFHK8ttnaHJctAkOwhVXt8lVGzyD1qOdbyjOIFki22Ndn21kP5nHIEx4BssE5x
KLzxAT6cN1rgQHCwvsVA2xTdETA4sjC5oBAE2jqRJpHPBOaED+mQZrw1o7lJur7EiKVuC4kUCjlK
EnTrI0/dRNzV6al5z/pI4F9t6geWUxhweVp76WpCpSAmhycRBYvCQRChCTIaJ3ZySpUKmYXnn1uv
nWqTWtVWY0j6usfrB9PyaRrMwmhn0z+yUk+bJYny09ze2P6C3woPZDUVd5BYigc5O5HZ4lTLmbgK
cR8wkpxziQU7gI/xLlzwOEcxfXFqCNIuNQUHG+INGUWggup1AGTU8WsSX0liVdm3JhM1wy/izPyz
alyqDKDAWV9O6PxekfCP4Xagc+XWexD5pgr8WVjUKVQRegArjElo732oC7FR8UrF609xyUKnSLJZ
/XPetrzSwhnNRx/bhZNwv+RjqhSwJshTV5GgOcIPQs5Zb7VbmYCleI0W3I9qKIp2A7RuWJkMYMxQ
PXkdpPNkr39GjgS1JJ4hxoxmVb7dNXrd0qWpBa4SNRMGOriyvm6wIiOMWGJSz1+WVJk60xDz82CH
kH1fA6DFwJdX+vYlX3fVzCUpT33TzsMB5XWfFW3iNrZVqL4E4WymNz+XRh3D2v2nu/vzUgh2Gm8b
MzBiNPWqs+piYsio0uu+FH5q4lMX+t5EUkiwJna9fVs/uoG/94/RFKVN7QVuhF31n1OpwcY9Z64r
78viNSOFzJg3LisxUH7ONsxl43AWrmFH0BhbP8CBaJxqjOy24Eqou+lCmMlGQslrYs/PyPxr9tHK
zJQIKIMNnAlwjWe+evvj//GoMIRgEJ/gCEQ57r7GjS9oPSNEHgVPqkBnBd6yLU1ZyOFKCfX2pf5Y
cx6N4YRREJMgF2zqq7dCGlW4UE/FU5LH3qhPqY7LGdOVyGyRMM3mf1xyr0coDi8GgLKLCgsddmC1
Lxu5sh+8OKN//yT83MQotbDZbseCyH6fuYk5s9KEfJ9kQvP1N3RebHlDtGuCnzCW/2ho/voxMzUF
oG9cu3y2m/N6Rc6QizD+zrzP9CQoHSFv06WK28iU8//dU3YDkAUMYjEIAPTrvW5eI67TY1RROp/H
touqKyVqU5oXJZXaCZijyRrfvuBLoAVDE8zQaTsz5A2Y8NE+evmQFcqnBBMtP8uWORECsV5qwhxB
UfNeU9nXyNDmBaLkyTaqYMb9k6eS/8fDDVnECTDxKEIBEMjLy09AlYiLi4jazz2Yt6zdM8taKyT3
2zxBdPtH2jLJ3KTGIW5xvPRfTXErUKbl1YTwivKz+efDacrAtHho/Wt2cQd0hWphRUKPI2Go5i4e
drGnrHjGbrdSROtoDsxhOekRb89dntpsfOyNmKGXOxWNNI+cWS4oZ00VLbp9TDLvqrOC0TJcqq6y
TG41oL5KsLCkG1HF4PhjjvNQFOQ2IE7NEQ93UfCxop8N+oHUnqhZVa5JmkpgJeZ4dR2TLKclvm90
bYZs5vnHWSnpTLrTgmcKSlwVbdm33//rbU3cc3HuBs2eoJ/8x9IeqSxyOGD6U5f3HjlrJpQpgZJV
mQzgV8v67Uuafft7yDWhNvkxowHhHkcGcfD7yI5BGVyAIZ4/JVloeoxYUofVFQxGt7Ku/zd357ac
NraE4VdxzT0U6KyLPReG+JDYTpzYziQ3FDEECXRCJwRPv78lCQfJNs6elQvV1kzVVMbOktTq1d3r
7+6/BwmEORPoTyCfis6KIeyLgLCeL57m+GO031xVDY0ZQox55LVJvLcSLwG1nRu+pfNtFQJ/vnd9
+FjuldVGia+UJH1jcFtbyVWCM1MFKTKg7qFnqKXk9NstXCdKku/5OlruHvSlKdRiuYxEZHX8vUSh
2aF8WZ3+Ds0aGCaZN5Vqr6Z8F5DeeF6QK/dBktLXOgG+TOEmAEblpOsuN3iHUxLePv8xAWzQy0JX
7QcOa3pslbwnQDAceUT+nmk/HnEoHLciUHcXnFAo0GVXOBBiClir6AkYwEqpO3Uuc8sQMPHKJzty
l/eGKi/XW+n4IshnRaYIKhBhrzkQrOAApkvV3XpnAdRx2vVxIbTkjQygCqduVyEDyXD6tgx0yJlh
Q86K+8xfCs88CUlVwHW0CTk5H7+VKKpryhsDptOkgU3ALTJ4pSlvmqDBVIfa5M7SwvJeDJY2buDQ
FKF+hqnHBFW5d48iHaQAtZRASes/xTkUIUwNp75K/0fXYCsWCQ0vwtIpfsJk0cveapn1dlcJW5XS
X+YFrDbnWzXjwPQONhOOxwwjFMeSOvFHtkgkkXreUmHv7KzBjp/loS8++E5fcpdemR2ndlXcOB+C
gNK1qjviSy6HRC0Mcckx/OGY0ToCWK5TaOxIdHdJzgO/N5mAcqin2yGtyOEb/tZqfj6YZTUy+QOa
X2iMU6k1bKnwmjfIrUE0efRy1fxnGdOAeqaQHr1g8lKkgfE7DIrQCvvDFlKoyTjSJsGFr6y8B1p/
aHEJLOYiQqmgMitiS2U2Vbnr+wnn1+STVyS5M3KsXLmAF+/WJ9X2mEdaAs1aDEX0iFyO8THXJ+EH
hzEY13gkR/CLOlTx95Kl+nVHHjl/P4HLXT+NmMukjUENoZ3c9VIOB17hbEaJHX/S8EqrM83rqdfm
Ns7HabRdvyMn7j045PDfM6qCLMEySoHzwtWGFF469L5TNaF/2Bb0wJ5mu/VgSD9CbN4p+Odp5MAA
d8pYTAcIY5Ek53BQBHcbU80eXFVlZIk16GkBrcd69I3a6GTm9aL4i6ElCWHRJLtgUsLyjDTBNhoF
5IuKUbGxXcZua37+3gtgO9zYOYCNs1x+zRh+CGo+yVY0v8fh3Q4OhzHhZ88B7etpo4ExuNXS7eAH
U12S70P6TO6dTM9GTmH4H1Zm4r6jk9z9cHyTNY01CkFaGWOmEypoCoFCSyFC4B9zDYHOjO9VfLKV
SbB6R5k5LXJGPDDuj9+suaGrm5kUygk3TwzXjkgmEGhzJreDmTEwfWqEisHdMABfPfX91XWuMcZj
VCxC/5YUIX3ux+/9TPPL16RWh5QNRrxdNpHpCd2RWuzP1rARRkzpiVbFma/SXP6GmyhX+uWGy7fU
FIX6HOZY4ZDbh8gCakMlp1ZmxhgT9oyq4C6YHgPr97hwPPNzoPiTzy6DuaPTgafb0VjNoUI7z13d
GBdeStkXxXrGx9iI7fcB0/Tu8bewsYIrpg++T/CipIEfnSrpULuFczz46cOFfxUAz97myhZO8yXn
1NMhsxGiETNTP6o+dfV0BPkG6M2KXBytgwBrsb2dQdWSkkrI4rPhQh9MB0WqjnZ8vzdioVYRHiIR
YQBhEHJR8dHtkICRAkmhWdvdTMuE8B1Xdc7VcOldFLtiGtAK/03t2cU4UxYkPdZxz7jQ6HUJxsdV
QBfK3PgypijWpE1Xob8YN95yKMPVxCd94JizRUbiADgNCrnCoiKcAVPeLh3nml9cmH4KNaPbi3yy
PaF/EYJbXeeRkaennrnofYSjXbuAhArgjPEE333IHPRRvOpdu9vAvNqqjLFWffUODNT7GPb4aPAR
wG0x2qUFaRf42iYjM7JhlVA4fJ/BDvFzayzdG9WM3PMVSPGFuwijj1D2eOk4nCQZdBNOdj/QldVt
L7BwEEYx3JypkNJC7hG7i7uNZzv0iq0HvAB8RTRgpAtSAOZyvSQRgk/8ouk968p1ttpXmuPoTiPp
APPNceEK2bVlq4EumDgp6mQVsf8OCgAzIGG+uzmZrV1Nv+mt1eVD5EJxOl7R3n8z3HCWeOOOw2bh
K1rF0FJRdUs9kkoJXnveM801XuzjOufLaKm9Bzbr+aeTbNv7AFAJBRO8n1h6fRHPInXgPcBvlF65
rj247eW2evbG2z9XLUHtAJeWaGmHZ6X1+vHG1xNrEQTzRUGCgXN7OPkexjsnH0N/qZ+uYd8F4fBD
mrZSHaxwvHQM/YKBQu4YnMS2RyQ8GVcUh4b5j5vSIgP0C4Qe9BLnGj6y5IKGuuLGyJzF5UI3F9op
ZDAKBLfbIa1di2jgZxCUWOHI8nd6dN5DLGfLVdq7Zugx83KBMnpXRuJsPzHPGHcGDV50ttjgvUeQ
pKyufNK8RJSqny9gTPECSkpg8HuXk/R80HOOpsQiyZeUBsNLppFAthablMugiaSLRgao3ydadQNS
rlTUwe1XkFdK6RtcMFLDjK43kZ3QTetCqzVCfuHwkuKUTXw+MBbKV1p/3H8yGhd/aq7iCrroJdyR
x7/Oc/uDptgUzVG6ZgjKgZaXUxUyobQcruaWAT5wam/s5Q+qPLZkDflknKnM2S4RNKhB78c2X26g
KTfyyH/rMV5QWEuUIOP6LFsDG2juESqlEj/Zmd584hvMjS0/iLFjeNWV6xkpFBq5fQfXWHYGU/7k
XWRPim+OFTNXiylyw7s3ZPLChhVNLqIjRKHWsl2xy+DUTR4Wq+V8YQ6ML2tjmHxWPCiqTIDdD/jF
7Aaa7PR9pAX+JQwDw+s0MHFkppcWn1zTsShIZto5/GeZ+pPK+bV+aq3d1Zc3nvJZyGDSrK3SFKNQ
M82hsiWy3Id6x15r2RzUe724J7KAVB4kEXLZBBI6xchX5JSSnQEBfqyHP53dwISPH87XzblqhsmD
bnuLq4G5Wd3DZZeRIcELnMXL2EPci6U5gk6xV+vb/013Vv0i42k6fVf2T9xm83j7eZ7gjZL9mAjx
00+hG6R3UDcLLpH/9ZeOL3RySFDyGGZBKp4A0v/WeFAMaaNxo3yk8lGOreABzKbZjGGlzKrSBQYm
VL281L9OvJBu8+rHPduGioRwkECNPi6u6oYHInpNCMffr5Lm8d9pvMHrU1WHMK78nhRaaxxIQbCq
DAQMWL2kDSZ8KAXL7hvU9jJDRKmkhLVA7B2SAsShnF1+RxVeF4LWL88eHAEqKQDwHAphSP8fRYQA
txSfiwv73TUhMM9FUgqaTmOSeE1xQBFXSwqG3adXBh8JVlBendsQ1HKzieVUgf2ADEh+tN7eMvqI
WGR/aPMpr67pAM1DOEGpt2cqsi4O/sBr1W5H0Q83Al1tDEwme6FUW65TZkCvdmWVY3pyUs89wjEz
YIlGJSqkqy+MOA/f3qanj74QHf6pSjqdE4LOg0uqgGr2FR0zQFD1ogqQvu0btDcSLEOgJa6u7QPg
BAEgSW0EVevTyUI6VKsMvrArh6pA/qJPzAmrl9U5X2BSES/7+ha96/Ay4PZfVoKB3hfAONFR174+
xcXSdoDIj5DIUPaOsBUTmTqz6C1qIIaYC3F1zg7QhGXL6oCm9Rm/atowF1Rv2bKGlo4voLkeMLP6
efciQ/BrWUOgWH2dlAhxT/WSz+JjfIJF/x6tkNVO6dyG4NEV6R1h8ZYCUzPrsxILHppD2+rDM0Yv
zH7HEDx1LEDGkP3mifH1+EDpkyBQLFH9U14tKVjwWmocJ+m176guKJpuyOqCpvYpFMP+AVdVV1MX
KIrqEyFVDJ1d0wK6P2VPCNhFQDrmqOzjn5ZdHA6Zqs28BTDfzvkFkEUBlEmFRtqgTzmaQEbqY2DL
O4IYcBsopZ4ghc7ZAlGrISkFwmQqGOlCJ2tZXi0twDuKok0qUGq/0EVdsGS9Ixia8P6CbvTJ4h36
BQ7NHBYJETg2l1cHpUBOSlIXYCYGE6GiiyRiebUOC+UM38GAPFD9885FSsqQajRZKZh94BFIPvB/
L0mB0hLcp+Dwhdama37BJn6TfH8Vvi/BJmA8hYpNv2gP+xTykgi1BpXF6JwUqFyrcR0JDIXx0tA1
cy6uLQImpmURBP+KQBAqLanCkQ4BSWDd0hZB5fyMeyAabr69afRNMlbMzKh9Z+dOC8oAMiTJnYA9
5POSVoFi6SXfCAMWNC4Yi1rOXfr4FD1JO0UOQ4aJR6QYtLxaW0DAiAQGTEusz5Sdc4oK2J6sFDSD
bEJZ51QbgtZhydb61NqonNCrO3VJCQjrpL0hSDoYKdONagCxrQR2H2dhUvZUI+3diwn4NpVmSngD
G0I7mgQoKX3REtDjxFmJeWmQFpVbpXPegNK0ofSJCTCZdlWNfotKCq3UEmaiD10Yu0VUB3ULN+G5
RB5Q7sSo9umwISza63orPsYfIBq44XAYe4PZNSnABysrBc7N5AtsiE+f3vIwMjKBDUjD011WKUkH
6w3ojpJGjxTQI1uBRLGO/9q6oPepNqDufZ+K75xdpEdMvuCA4ThlXwqNMOXVdo7YTSQE3PoLXeja
jqBTSHJHqCSRVICyJ+/QsosmSBLtaVS/1z60c7pAabwtGy0LKcBTAX5QqYIoLjm0CzZIE5lGKKRr
71GFJl2Kl1RDVPXK+QgT7Jz+IQsbWV1NKQgfCUEq0eLePJY37JIUNHylrBR4SeoLwFBejpcs6i+g
rSXf9KtmrVt2QTUM0Vskpwt4QrQATtNaCq1TNAiziXGk2KGrOTdoIxVZuwDObtnUYdTHp7Lo7NAu
mGYfnltLpOSqDVOFqV3aEaKSSlYXwAoo/bb1OtUuSpwaUiB2hE1+IKrzyqsSe4ekIE4QsnZBJecG
/YQgV62cRCtqsoSukHakULGSQuc8JZWFSvVQcqdJYCVOCrWrbJ2pyzJNE4RVMbr3/pTqSkMqDKig
S45/Wp+fsjwD8dINWzvPziFK9BFKmwKRcoMJxQZcezJ4DVNg9YW1ZFBg/fPumQJGYssGzRqBEj36
0Ae8AiaU6XeR4azhx+qGXTKIHPBkIRUAdop0EQJgenm1jg4YREZvQp/CCIby6p4uvDCw5pUWhlcL
UgDaeXkIWxiKWF5tgzhgy8BWJEasVGL6/aD5NxTmqSNk5LjerOwFcefJS90gr/3Cvgvi+c/rDojL
2X/+UiAwafzi3TaaV/f+1Sryd0NIZX/CwQ/3/Qrlfeq/Xr/g81s37rV/q/3/vHDn8ZTJXtCRidaX
+jFvpj4dJUwL+TH1p4cjhtA+NO/Xk/znr8ZzHgRHbyz88hiS12ecPAXgR9eNXfrYmg9cdlNIP3C8
gtt3muxfXXzGIbOL9n8Wn+DfiWI09dyfYRy4jaeu6p5ln5oZQmE8nYX7pxRPXRXTyq9Mt+Bj6j5m
aWPxsmJfdvHx3JtupvH8cOWqClZ6ZTeBb+IxPQl/niCczP/RFDszEohsZe/CNLzYnTW+J2GuqNyU
Xfl8HsaL5iNTnSbqAGVXvkDirrtfp1Rvleag/f/49/p9OZs6DQUcViVrsg986XluELrNHVlVg0kv
HczcacuKwFr3B77fZbhpqgUd+jh62Qf+8Nw2VTWy0guzQPa42u4fsdSLqthMdumrkEmez8Rcla3I
rn09dYOG9RBD1v/Axr6exltvGswOxVFXV8g/cpJMH50smadpQ6fr+gXp9d1HKNamzZbTqqhefml8
QRKmDc2uM+7yayeJy79R1LBNTGASjaJ/YvUwi9tLi1IB6aXDIG3ZkLomTXblm/mPuD3EjRoskeCX
XzqfNv0WCLDImcsvvDm5mPpR4rhNt15nY//E+u/ncTJvWCrBRvcHrOvNfHNyPS/cx4Ybq5uy/sST
fwvj1V7GwsKytEhLSi8dxqlzMprGIZ6yuTlJ3v+xG4ynq/ber9Inss//0XGbEq/yEdLLrjwikuap
pk57SS8dzxftrv6yP0F24U/zIEgYFzxtHRNqWF52+c9OOJufXCbPfFuFd8su/yXMXlHEGkr+Mzd4
roh1rYvs8ndIfw7NWSOkqGtL5dcumqfKOhsvu+59OnX2JkTYlBqull32YR77eLbGyhUQLL2yy8mm
pd41yCq79NcpfocpTs2tST+HwC6lF58n6cnDSw9foYLS67vJY8jUiUbkViclpdd+fYT0USDmJaTp
iULjOf60Jwh56a81wTXxG4/efBr//V8AAAD//w==</cx:binary>
              </cx:geoCache>
            </cx:geography>
          </cx:layoutPr>
          <cx:valueColors>
            <cx:minColor>
              <a:schemeClr val="accent2"/>
            </cx:minColor>
            <cx:midColor>
              <a:schemeClr val="bg1"/>
            </cx:mid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r" align="min" overlay="0"/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EDA6EE5A-5421-46EF-B7D6-F52E6807B41D}">
          <cx:tx>
            <cx:txData>
              <cx:f>_xlchart.v5.2</cx:f>
              <cx:v>Average by state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1H1pb9vItu1fCfL50V0zWQenL9CULE+xk9hJujtfCMV2c2Zxnn79W7Rkx2Kc2Bfthwf5HLQQSyXu
qlV7WntX+b/X/X+uk9t1+aZPk6z6z3X/+9ugrvP//PZbdR3cpuvqIA2vS1OZf+qDa5P+Zv75J7y+
/e2mXHdh5v/GCBW/XQfrsr7t3/7Pf/Ft/q15Z67XdWiyj81tOVzeVk1SV79478m33qxv0jBbhlVd
htc1/f3tH8n62zpdv31zm9VhPXwa8tvf3+586O2b3+Zf9cNj3ySQrG5uMJazA1spwRiz375JTOZv
f2856sARhHNGmN783D/0Yp1i4AskuZNjfXNT3lYVZnL3+mjgjtj4/bu3b65Nk9XTavlYuN/ffs7C
+vbmzVW9rm+rt2/Cyiw2H1iYSfbPV3eT/W13vf/nv7NfYPqz3zyCZL5Wz731AyJXpqmDN4t1aZIw
e01g+IEmXAtGKbn74TN8yIGjBXEopRt41C4+L5fraZjm42doXS32Eq0Pt1lWDUm7zsJXxEpMWCil
nQ1ShNBdrGz7wOGOo22bbLBydrF6qVRPI7U7eobThz/2Eqc/ynA0r6pO4oBpzphDxQaCmbmDGh3A
DkqtpLpDERBubOzW3D0v0NPoPMxkBswfX/cUmHidVWtY41fzQALKA9XhVD4ox2NHpNmB4JpKKbfq
Je+ffY/M8xL9DJr7kXNsLvcSm4VJTLm+Mffr8wrRgXMAaKQkgm1M28ywUSIPpLAdruCdHqvLS0R5
GpTvI2egLN7vJShfbsvUZPX98vx7TIQ4ILZk+N8sIrAZLBhTWjl8o0gzRXmBJE9D8jBwhsiXT3uJ
yGKdhP+Y8lUjAG4fMCkQAlD9tKJQfaCozWwqtuHa/YbYGLGXyfQ0PI/HzhBa7Kf3X94m625d3t6v
0b9XGq4PCHFsxfjWyehZhCYPhHKU4BS+aPqZ6c5LJHoane8jZ9gsD/dTe0yW3V7X4XXzmjaNHkhb
Usm5fFJ9YNps7iB4YzNcFi+T5mlodgbP0Fnsp21bIQIIb9avpzjMOZBaSqq2ZkvPFMdBdObYXDCH
b5CbBQIvEOhpcB4GzoBZ7SdNcHRrSv81c04QN0pAJYTe8gOz0MzhB0IIboMieBKYFwj0NDAPA2fA
HO2nrzkPq8o0Zfh6KsOdA65sZCtiiwzb9TVTQmPb3KZsq1Mzm/YSiZ6G5vvIGTbn+xk7n9ysg1fM
ZhA5c0cTm93HYKBhHmealIoDJTW3HTKD5FlBnsZjO2wGxslyLx3/SQKC04SvmPmDNqPAAtnjlpOZ
+xZ9QIWjuHS+B22Pk8yXSPQTYB7mMsdmP73L+bqq1tdBU93W9WsCxA6Qs3Cwlt95y8cKY4MzIxJF
Agds2mNkXizP0/DMhs8wOt9PR3OS3YTrV6U09QHSTS2ce2JsxgeggoOI2dagPTcRwNyoPS/Q0/A8
zGQGzMnFfho2071iwCwY6BmhpC3EQ9z1WGc0P5hyHEXJ9v1Z3ebkGWl+AsndqDke+6kofw4GRU//
3qL8++QfkCCjV4zx7ZLPAjJK7AOkOEIAmLvkH37osTV7gUBPo/IwcAbMn3/vpaKcvTbz7yB3FDab
6mJ3P3Q3HtMIpB1CURrY+v+Zl3lenqdhuR83Q+Xsai9Quf5ljXyzbzc6s/PJ/21fgIaZ4rBi8P53
PzPnokGoTZEbKtQblRG7OjMr3f9crKchmg3fmcl+9AWcYcrNdTzcL8u/N2PgmCWzmaPktiNjlr44
Ev7eRmZJt1TMzN+/RKKn0fg+cq4y+2nILm6/lesqfk2vDwIT5D637U31mMxcDNTFgZuBC9oSnDOv
/xKJnsbm+8gZNheHe2HOdqRGh9M704TVKwfK5EBj9Yl6IDFnfoaiAk0dNAds3f/Mlr1IpKfReTR0
Z6KY534GZ5cBWq/enFTJOrt5PdMmkEgyh2m5rb7omWlDoimp45CpQePuB97ocYT2UqmeBml39Ayn
y5O9VKPzdZjd3i/Sv/c9Qh5wlDeFfBSKPc5qlD5gqBEIpD5PhgPPivM0MtthM0jO99OynYeonFWm
fk23owCLpuiP2ZL88whaHFCNygwan+73wqbe/CJZfoLJ92nMcdnP/P98XQ6va85QAdAIB6Aru47G
Vgc2oehDuw+aZ2bsJZL8BJSHOcwx2U+y+Ty8DkJ/nd3v2lewYGgzs4WtbWdbdZm5GETPNicadNn2
/VmE9hKJfoLNw1zm2Oypa0HFbPp/noevB8/Uh87QofFA9c9Ux0H/jFQMjWhbMvMHeF4k1M8QejR4
DtJ+sAI7UiOMPkfP2auyzcI+ANEvqUZF+SlCgBIgJCRlis/C5xeI8hNY7uewMznM7dNehmQXt+36
NVsz0NPEpQJrCbN19zOzaJQq6IxEcQaR8/SD4OBx0Py8PE/Dcj9uhsrFlz1FpXtzvE7zKghfs+FM
8APlSCSc9wn/jD+bMhqQBQyVtTtsJsJgF5wXivUzjHaGz6E63k+oTPn/5qgNmpg5yv4PijQ7G2Cj
Du1Aj5Takjsz33PxYrl+AtZs/BytxX6iddu9Ob0tq9vhfme/QhCHjgEOlZH86dYaGw0cCCFwHm9j
EfXMFV28SKafoPRo7Byh071F6Py2D69fsceGiwMcWUNzk9jqyszuUaIOKEGHOk6u3e+LTUo6YfO8
ND/H5n7sHJvzvcXmb1PG92v0CrqDKijXTExHOu9+ZsjYEhwcIfBZWwpnbuWAz3MS/Rydzcg5Nn/v
JTZ/htW1yarwdbNTlNJg19Q2lvsx/bE5+FF0pz2A9zhceJFIT6PzaOgMnj9P9hKeLyE6bV/7dAcS
G0ejrfPJSNt2DqbDnxK9hZv3oVqP0XmJRE+D833kDJsvf+wlNptQabmOX5cGtdHrrDhcyvbk00x7
ECzgeMd0/PM+LtjF56VSPY3R7ugZThf7yb9d3Z1qf3WcEBxw+BdkPhs9mQXaE06MEzDaaha4vVSe
pxHaHT1D6Go/EXofhK8YtqEVV+CILdidp7kEHPPAOxwHPb63gzy2cM9J8zQum1EzPN7vZ3L6Pk7Q
rP6qV3MgLXU4DNu2ZWB+q4BGPwgiaULutQlWbweTF0j0E1weRs6xOdtLr/O+vPXNa0ZruJsDdABa
09U2z9yt81BG0FCIlgOcjZ5h8qwkP0FkO26Ox+Ve4vEJt3DgTpjbVyxQc4nratAXRbZc57wBB83Q
XHA2ncHdBNCz7PNFIj2NzaOhM3g+7WdB9NNt/6oXPFAEX9wRuKrmYekf9w6gN4ojKUUX6Pe+tsd2
7FlxfgbL3SzmkPy1lxrzuV4H95bk31MBU+UAxzpAP29dy6xb7e4yFBsNUUzNSIDn5Hgais2oGRKf
P+0lEn/eVvWb72nZZqO+AiRIIQWTqE5vlWAWGjsE9wcg/tJkq0SzFPPFYj2N0Gz4DKo/97O08+ca
RZ3Mr1/V9SPVpBSN0c5PUpg714+TufenP2d+5mUy/QSkR/OZI/T/iQ74+cVqD5fOLdf1+vDutrpH
d6v9+t276eMKvdnQbXS7UbadlvB703hy8/tbJpA7PtyBN33FTlQ86yzf6O/DuNt1Vf/+1lLqQNuc
4xQPWtzRX0VgBjso/u9vET+gFRFlO7BBEjd+OM7bN9lUv/n9LUp6HAEfeuK3FxVUUxKNIegG4gy5
laZoEda4BOThjsAPJhkQmT6sxvbfb7Im/WDCrK5wQR8UPd98bJJyeiLCSw1jwGxQGjgBjvev15fY
6Pg0/T8JjcqMdrG8dahXN/qQ5SK3kgXJ23D8ImWTx2thlbJaZcVQDWJZs14G/cIyHvnmZ6XIrIVh
fWyf6kAOzTLWVlYcdzpNqvNEprk1uCbuZf5NxnXUmyXWKon4wrdtQW/t3gzNZRL0drJ2HJl71zzl
hbrwVVjk3E1pWEEUkcsyfR9QUnfZ0k9kGeeu6WSavqP2UEBkP03pcMZSnkX/WFVrMOYRpE8sEozl
zhqhRMSERnF8upUNy4Ud8XiNbJqGTaAC59brTBYVx3UqEnGciLYq7eOx8uuwW4xhjntiEuKFzFv9
+vEU/nP3+dP5bg6uHYUOnPTS0/uPMBoj7lSKqPAmojGPw0VtuOSBqzWzimhV9p1f1ssyqH0RuJaw
xjz70Ak+VGxBxag6flqrIKti15iCl/QCfbMF3ntGyNlGstEfgINqnIC6FFxgsXaFdApW1UOlzLcs
kRZ2RYT1GDu3HUg9yDPuSeykym/KeJ1GMgNGZZ6WVB47VmS1sVsEwG/aS0OAUVk4Ju2Z6OPcpM8J
ijz28WpC0Il5ZajsMRv1CTXb8T3vslxnI/9WeUxZ6WFUV3nSfCjGOsyzRVcMBYSz7LTFe2YoUjMs
nXgcrKsuz72TSpdJ5C/ScSTDWRoUWe25mSbKqxeNJFZyqVLtj+mCcd1jkZkVDTQ7JaNO8K1x6HVF
4f565WE8duaDPhqOc82YFEotk0HYXfg+CC0WlNy6UVbZErb0R9u3i1XiiJoTNytrpb7Gkng1+PkH
Q/dhYyMem46ZVth4rtA4b4Woj6ErdP7cvBmMbSzu3PgDtF25LcmT6q9AeCzz3S4Km/B95uFe1NoN
AoPY8Jlpz2EkuIwC1++hzVtIxJb2tCyPlMKXbWiRPuA3lp3YBV/Ijii5hgmz6hMzhnZyEVrU0HMe
F0NzFVeEjIELD59gUX69EHIOgGTw0MjQp5Yy3KM1A6BWIYmGOPOuPT1msjwyRZ56w6HlpZUejgan
7IHKrx/54+TRhqPA5eCMwXStJ9mdfGAHXhINpLwRqoN9XQ1UjTReybJrKnEYOp5QX8sGq164lULk
/tWQoS31YRsaknfPbAQ6V/2pVIFseDKRuBEBh+x2pfH1GEmd19Y3NMXYqXXc18FkitLeBLiDteki
MYpFmFYDy91eMw6pZEiC5irNVTQsMouW2ZVOg7TMloU0JbtM2zCrvv16zSa9fuTpoPfgggVBUxnu
BoK2zAxU03lOSYqx/9aXdYlNQJqYYLFI33FpuX3JW+sqZ3ExKU3dmeklzP3mmcWanvJdCilwYwQF
7TmFA4AN/95dq24Y+7AcZXxsZ1YZy4Wdpjb/qso4wOR/PeEfH4Ubdx1YOlAZOMg1n3DqsXRofOUf
b5SilfE0qZ4VKV5+/SiKOPTRtGAFFK66wmVxmJzEpRdypo1APSvarM2/2tLISC5ygr6KwvW8Ruty
QUfbgsPyho1lShqB95o7Vc2p5+Ctvqu5KlZNx59XFjG3kGgiRIglNaUMPNsPrinu4yr1ApN/zUvs
0OKQV7EjzhkN+HDGq2aASdZem4xf0qAfBtttgrIrggWMaacu/WL0rOMyFdH4pbSaSl04oZrCnl60
aaKP4kZOLsJUXMONDa0t28u8jOLxy5iouItdkiSTKw7hAeAkTKYD/JIPuCH0i5P2PfwHl9GAl2ok
fu0sc1nxaqXsZvIfce+HCJuKu8drx7eGznVMH+ErDEIiSB5a2RTx1LlM43VfqazIV7otaXsluBnr
d2UZe6WbJGnJ0oXle2l/7AuEDH9nTuaJLy1pKRyd7fiIntoiMwi8fr035uYRq2+DVMbxTmErtNrM
tgb3hsynOk++jjStSh8bkNh55XYmMskJb4oOSvjrJ841nU2n5RmFT0TfiP7hiVVJqqBLefc3H5tp
M3aNmEwLq+wYjlG1hVRfvYiP2IQda+rKP7cR3GCf/lqM6TaxHaXguAub2XAKaCFiArH/rq6PvG0K
S6v0SyqytOZubRpp3ZoiKBARBXGV0cPSs034oa0cH1FPHkjjH/pOzVrj4mxml7RuzfziLPEcddXz
MnEGt+qoai9rxyLhopBjb86wiUjgRkR4Ye4KT9Ep4AgI9qFpA3juEy+K6yn6aNH8+X66uzsfXB6X
vG+Pfj1jOvNLDu7uIBPNw+4u8USmszvjWHlB1hWV/bltMoLQXJYlQ2jejtO+FQhgxHFAux7bto81
x4tf38XrlsqnLc2bqGPelderaUuzIhzT8jjMGZ/CtGKsCF0VSZtX4dEohxha53XplCnQwUmhnTYt
oEa/nhKbWTYH0YUDlwSrBgTBOc4MdsGzdDRRxj47dcChW3XuTwLUFm8m1b3TY5DEA2Tzgn5ScdjK
yaSUeYFg1wookhPay+lXpohxjjTRkS2Owy6Z1qEYOqMuvKLHp8KAT1Mc/FRVq9iyS77KnbLl1WJA
zIrpPjO1WQSHqWn4Ioabo9BtIBBL7aJV9zG1k8YMn7nfTpaqLgtsrTEZQ3NdEydmmTvUphi/2Cyb
YvTUMhSA9CpN/OFwTBWt/ZXmVtN9RgRYYjk6O+LYfbwdYU2y0NLYYqJL8sm6NTCbxyHLO5i1Gt4e
Dwxrj+BfyBwpliL1BZairu3AqhcyaSKoRKBZhH9t1mcyhdMx3F9FsTMddZCyIHKxmXSQTJMfwkja
jUINqrA+taltYB02oSMLnL6NF8iXAz97zizM3NH0SIE+XkbglnAGcZ5OksggPMt7+1PVUOyQesAt
POER8g+sj4hyYeSh11mmr1yV8AELnrRehrQJRg+r1JV9Un+wVeV40cqrhQNjAIVsL0uw5PAAqQXF
r/sMjmoLm190GZayT5wMugItmuDw434CwopCihc9RLq9JCY1kETGMXxTrOop+/71ags9ixUx+ckJ
wEjgeixkYvOsAaFWZfmkHz4FwaASz62bmOcLryNedKHYKMrhsAhKlTuuZkxHgVuWRVickqThvXRz
ZFzWWemnljj30sDmi6IzvX9NwoQcd14j1DK2M5PciCgZy8vUqBR/dGGkSfdetJT049KJMi3zRYEc
tmpWXSed9qIsAq83rkpJSt9xUlK9zLJS00XU103puaZ3ijFyg6wtRb/w+7iFMrRj2Q2J21syEtFK
M9qIK5XUg/AXpKdN1xzluguohxzS8+uTOrCRHS7sMenGEck6tmJ+0seD17hFlUdq1Wrb50uZWv34
qVOGhV8akfjekoua0cWA3M8MrvLrSi91yLp44cvEP8Z9S/WyMKQbzzydEXJEOxqwlW9VTkAO89ik
4vMgWz+2PmtD+v5TX/e8PreqOrMu4THs5kaWSpWfR7v1M+PmxtCg+qj7MYmPvBCczWo0wkmNqxE9
smBhl2NVON9oGjnZTcBy0/ZLbJWhuNVN3XVkESddRaPj2ssK6SwRY8tEHXmpFasLTW0rjo9albMq
CW4DJ+M1Vrmn3CnF+chNiy090rLKg49obasVOcwykef2SaO9MEjeZbKPC/8wav26a9910vPDcOWJ
tGvkpZcxXpyoSAS+s8JeUTx283YkcOtJ5YSddn1LqKJeBl45RsNJ51dWEB51YQpvs4h1J2Bg2zxs
5F/GapSsTrA5OstbdBxhC71ockRd2q0H7vTqfYKIGy/15pdWGCZ4Dy0PAo8bTSWKb2NTaNaeRqrM
fXZMe8uy7cUQybixj/osomniStFOfpFIK8R0fC7hVNa9N6CrbxHJQEv//dDlXW5/iDwr6pKVHXOL
5SdxM2infa8iLkPtFlpP+b5d1jKIv9i+51njmRBJhZWyhgIm+xxWuwjkmcW90k7e0bAIafIhirrI
8Q67CIbAPzQhuqHKBUzWJNLQWglhh8QPhrBYkjyOSmeZ1cSS2V/MZxmel0aJ1p8b3ymKRYkcEyvL
nCaEB1lQFUxfAvkRsrhFoaeYXgQVZr/IA5pxtYqCbloxntQxXkwV1NZVltqTyRdt7Tv2Qne1wQYY
M8QbR7UuU3wu30w1qOWI5SsiZD02fEnl4WlJQJHAZTSc4KG5CJj8kyb9tM6Z0BEYMquxSkBhZbET
iNuiQEJTrMowRKS16Bw62MUidALZWEBQNEXzpY6yJsywXlYwmqOgGQXtz53InkQOgXQ+XinsLDyB
463im2f10wZTpTUhLwcLv0t0Oi1N21J8FC7WKTrI0KIfFHPczqcsOS++gUYM8DvZ50ZdxVJ4mi9E
p0GuuLkdUKzFdvd4Y6XxlXZkTZPz6uFuMRrsmnKxjXG1HOX0L17J+JyTsLSutkttbT5+v8ibzyEL
Z/G5zfIUAtDMCtpvcajysDwKMz5g0gUb8bduXJ9xPyRXIAF9o125AcqMbY2tBvavKf2TjOrBky6N
g3ZQ73XaGKxSy9IEH2E5+KtyAQrBa7Ubk2EKev0UF5RAR22fFN/0ZgVNDg2CXdvMKWAhcrRFbjLV
0eOhcSaGkGyg3WwP5cUJ1keJECMOpZ1Mk+/VEGCf+rScHhOIQOGXgymIHXwerVA09Slmyqfl3Wyk
sRkaSIlJTt9Cw7LCONRuOHZXVQeT6JsFtcZuxD9Mwo2wDy0iszg6GVGO6/Mjn4AtIodd2BjotI78
iVWoOuAbtjYrvlHlZ9g+lUTEismXLYLd9xUY+ukLWTu9iNZ38JJkZFKHdJST/Fmj/KD73CR+4oer
zHfwvUHBqc+P42qwaX3GN3sljCpd20fbJddRW0KcPuQxvgQewODhUR7G8PMtLUZFPiNyi5x2mRdW
nYULUvkeHi6jAHeeL+skB2+YgLQEZQCYgubENv6kzg38K34XD42KnFWMYLEfTrmukt4c18KQNF0k
WiRp63qVD0qOatrg80FdVHhB0CiTi7Ro8N8h7UBQSdJR0DAFKhTJRRvXHkiBrozwdBr4pv2iMq9H
FuAN47T3Ow1THq16XjBYGKcMksY5TFK42PSwtzJPVydSw1X1fxPVR7A3fmJMHB9vSfKoToIyWjVB
gnz3ehAV2tyP8yjAchzxO50pjJNgwSqvi73xCw8c09WfC94FnTquN1PvtV9hiXjejzFmFPtdJQ/V
SCisXF2Kaflon0+7Bpz5tMU3NIxTxR1WgDZsmm8dhgwvJTY4Pl+EoBktN0xGcLb4Yz5xpl1QFoNK
z3lOS3xCDXTKYVvZVNhXG5JlpDIpvVWTFaXHTnyvGPEd44bW8pCWg5ErpIjBRXo0RuqbpsidskWd
gJiQZ2msJn2qRReitODHTg1TyZU3wOdVAyxNtEJmOy1eE/KJKmCNE6PCECWZj+E4DI9Z/t0hPPOs
086ryjK80DyaCEDTwN2d27HHVf1RgEofvMPei6whWKkul0m1BHWB5k3XBgmkvgqfU6TkcIYa4I+W
GDErlaWT20ilN223kpUUm2+zklFtwPLykIS8Pe1GmXr2x3hsOuuqRDANVmHMC62+wt5if1ldPmIF
IkGmOXh5ZsH4I72cWKokRLyKyFqnpsu/Kj0EBf0m+kQlF0oV+eCtBDNVbf3ThTTqvUN4NJ5It0rA
LVsLJ6F2+QVVkS6uPxG/iHx/4cmBB/1lZyO2KW50G7YF+7vyHFATR2XctKleWGys4i+jaJgwbgPv
0CPZp9QgprRtqRvaYJenkWaLFr+07Na1O9Tb+uV2JhssizwC+brAuc1hmtaduUmSdrJ/evAna4Lo
f1LesEqnT2R3zLgXsel3khILnxj8Yfqgx8FOpIfI3Ke6QZh4OVTZR7ToXYz1QPPDCIo6aaVOp3e2
WxYxJSyRRo8u3tpwzZM5tfxF2Q8lt13KSuJ8aALb74zbkQzMtBhGT7OTrsgmLfetcaIDK1S/8CIQ
ltUnxUiwvwUBt3+B2skkeRyifvp1+yBZari0AlvFutpkbFkYjXbsRlneiI/xxmDFG6KxQGsddoOV
FBMJWZWqFGKZ+mlhPDcoVGNdNaHMMee6Q22yPQ2ZP4VxgejxDLtNJrGaO4WzTAw/4nqymZQ8Z1Px
dJl1/bQnbW9kcejKoMrS9DCIEmjjarMgqEVNRi9GByC+V1TUis4CxhPbeYb4miX04HJgH7CDGYyb
oj+UtoIa/DxqZuwqMEZBatv3e2hDZ2BmC0tMGpS0IF4Ctw2LSfZnsrtdvmt6PC51QYPp5or3OeFc
Nr2xusoGVbUxjRE4YEiBPACa9OtHzYgmaBNB6zCeBcoK/1VTWv+o+tM5ceF4CCXv9wiJe2MWRe4J
8R63Nky7W6tgArUJIyBsRCkA2dY4/lqWXQoBPU/YPw7+2oCjwOpjn7NdWbyWM9C3kX+Fw+4wY6Gk
UzxeVbjo/nA0CJ2fW+cfH4iuHhAHytEM5KKe8YooFRCapMS7LPoMjsKP4fFP7CGGmdtq9q8nSCfa
7lHRAjOcOrUl7hh3GG4anROZfRIJP6sTdbm1GF0wTqT9oPgg5aoXldOuotwby49Nx4domTbZZM95
CdNgVaOAP3pGot2djjVHKjXdssVtLXFmfV5yGjSxOnvgxWWyUaoOcR10vG9iD3Y9dNoQEASiGaCZ
msM5ILSwgkmQKOdFMy7aApn9SqbcSNREYFqGBUx9gY9DPzx6EQ4c+eSi29SK8o2Z/fUk5jACOBRo
CC5BAiVL8edEdvcN/G5Rs95qL4IqnizTeBcI5ZXMmo+D5TQCt0u/nOqSKIDgRgWybbmfTh/vPs/u
EY3g0rLmYuv2ej8oIpcYWFbjlhUuUPnfPQ+U/3TLFhQDXeXi7hDGYx3lnQcmug2ji41bQpA8oWHH
CfQiq4rJYfz6gbMqFJI9dGjgBmM2nWrDn16blxoyUgde1Of6mkQgdLcbkKl4CqpKnk6JV+e0Wbog
qSiZ7dplgpqAmyBoqxY1z3r7c9QRmItn5Nq0iDzSILB9KMTd3Z08la3R7L279oSgsmKHQXVUjowE
1SGT/VSrb3BDSWP+qcYM5d6FqXywo9pNvRH5nltLv6bpGfwtWoP8hYlzcDfvmAB7QD6knvR9czzA
u0tz4fVhTPth4TEUjf6uiiJFIlNGTGTFYZo0I6sXxBBVpUunlCDL3vGeGq4+6E1FLlZIJ/h7L0tp
0Z/HftBqtPI0rQopWI0ILSTHSBXsMF0mVpTDnm1DDNvCsMCNN4EBYmwH5l7dGaJNshDfrWYXpAzG
F8nd5Mi7llkISQ1zEOlnrMFyI0hSjX3Bq2QKx6xNdJKjxQK4kdyhY+jGVZ3S0c2qUmfhUuV2EjXu
PWlRwPEF7jYUuYuBUBvrsL5j4Uxu2C5acEPIDmLFDnPH4JFpjLygPSWoN4T+IulT3OlyBEY+iZLP
HIGr5hdqqLXITyJFrCmdr9oSTOmwyaR0N1S8WAZxk4I4BYdio07gRkHtGG9hNcbvSOoW+CuOkn3Q
hc7t7tAvoJ7FJznodjSfUDGYalKI4ghTF6auUAb4FObgi/0l9jmK7augLCiNFilF2PjPgOSxck6l
6jv2lcp+qJ0LEF9e/jHTOorZYZRVFkEui4sL+3qBFjN05BxmZgC2y65nYzm4xAK30C4QXFHpLAYx
eN27WFd1NbpoaulC5MPaKVHZDANSHQmS1N03RdJ4CJaeQMicuamdpeVfGbgTq3GdTdFsa00KdNX4
6p2TwvJGqyxIFGsQB99FSqCup0hvyOrJbWy2RnIXz2V2EiPpKjX6RXK3LYlKKWyRb2yIweKYuV1s
tfoTzLBxrvJMW8kqDaUv3cD3uys5hDJaDmHnHYWi5cch4eNJWvbtMbgIc2mXii16LYMLO6wTAta3
LT952NTHwpemcqF9wbeozJO/fBKaZa+ph2wy4fUR0lWQQiyTZ05OvpoY6ph1uXqnujBf2iIIgC6x
ylVk9+IwMmHzfoySmhwirq4PnYHwBDtWpddB3lwxKvKzUlj+WdpW9aGsQCKjTcM/bk2jl4HunI92
HhToDsrDm7AqvGUS5L47iCxbSk8Xp87I0tXgZajjZrkU+GpnyBYiyuxVh688cZBRfSt70xyhe8q7
KXScHMU9TUZ30JFcBRExV7kAu+4mIFkq1+LG/9z1o7NOrEwiGW/ST53DwkPCanIqiA5C11gWfydA
tK3KusLxi8j2PoL+C9HNU3N9Q1GsQUZCc3rZsigIV/mQWYe0SuvLqhWgDGAKltXQN6e8KofYlWnn
LDxbe4HzV9gyPZygh6C5rpiI6KFp8hqJSpgGg9vi7zfcOrW006XlWeVpqtFQsBS0jj72LY+R6aTm
TFY1LRaeE5g1iar8XY9bhs4qRacd6smpCuq33WmPgPSc2HF7Av7aOg1jHrClA+t3Q7uOZ+44OjRA
4ptbf3d50d0WltUvWEjHdVVFhqEnIEdb4zhW2LlBkicu+onKZpmPXdyfqsYvfJfQPLwYqA1DjKRo
0XY84afo5k3y07IvyhXLG3Ymk7R3wdV+kd1wTRrPuxAU6tNW/5e5c+uNG8m29F8ZzDsbvJMBDA4w
vGSmbilZsmTLLwHJdjF4D8Y9+OtnZVVNt+063Y3GvAxw+gBGSUomLxF7r/WtTa0aiINhX3VuNkWT
+TVp00ItZ85S8eq5Q1UVwqDuZKVHUAxjXfRdxqtAJ+kbvOW1SuJpOa5o9as4nNUHFy3jB8m8GutR
qe55Y377LByf42pz2tU0EnyoBhwfPNMSqhkePMf2OnWlfSCxZFO97GZ4G2a+V7Bp5he8wmOrODfR
BwIb4IrHoqy1COl12i/pmyxzdztAsTcwDlKND6WqojrY0FPq7jYvg7WvpmgkbyJAOd+UqLCGKhvk
9pDbfDxgoc/zmvR7cVLRyh5A+4HOsEw8x+vCj0a76Dhwk7+JhD5bdLrP+zbv5XHjqa+Gbe6+e5yQ
I1OF1i0KOf+kBMloJdINnuvYqSpkxlzlZOTHDZVkVHWFJM9kUeQ9cTz5OAi6vpvd7N81bvDGFGt8
lwINOIbYKZrNbeoJFWJQZXYxt4GQ45c9XJdjMkUU3BIE4TPzYYq9zGFFCoe+hKKTjfmpgLVSc7kM
xzHT4hnkU4LjN/F1FC7JYcgT+QplbXsgCxOnyE/kaZ7FftPJYWtdgSUXjezcn5c0VNdCp/ZhkVR8
FGWZfk1Gg8Uh3rw5p37GwwNV6j5KlL5xorBXvXXJCuWlXI40n9MGDS7ITwgX5GoPBL2llIkPe1yy
5xLix+u2l+ojNvzuhIetuNujQIGEzPvDRGh2C486Smo1k6kpd78kuN/Fcti7YH0YIaI/dG7lWw22
IzwIO2yvXOm0Q3u877eCpPoGuOOI/n5eP3bJTmas2bNrk2IsTxFcu9rwPb0vTZdAWxfBt4DGILRu
fZbuPan97FCtNoWGKF3ejlliCtWGmHExqWoinN7agHcP0Emmc5D65WVS4g2/00Gq7aMXOaOCGXQx
nB0ZACdmPOqvycrjLzqg2tYTs+EdYB393MfGbEcWT0laExYVNyldRXkg4byQ65mVvIETm+6VgWPd
lGSfi2rYFTHVnNDlvAZw7G98sBU413lolbjdiIFVEzkR2asl3eb7xKXBh2IhPa9zJ9jaMsLF49D1
Zm5h2np2M/fj2jeBWDLwgpRGwbEwUu6PvlyEZsdL6RE2ZHN4Y+uIs7babrwe0VWLqY4KVC51Nmtq
7qB3DLJOdNR9tMW++noNp/wWMBuNGhuhRLxRaKXVS9ajfxNYRwRXWY7CqVsABp2MyovrLHbhMnzc
E09jU3m3hURfx1jswqsyhaZ/3Ca/iIYZmeknEnTjAIamm4ioREC7aayDlLinPgH3UsUsnT6sPgr2
o0WrONRhscXhrSWDW+pYQIm/KyYspw0w271ZoU1dD7Hqa8TuxmsVeCeH+8kHOdkTnP4ldHMDpWUe
L5wVj7P5Xql0KFXj8yGfYkjkcsXzUMKgrHXk47lNIz2x25HBX63mBUJtvSu3LVUye1g3hR7G09Kn
2dp2sPruxh5CZzO43p2SDi8aavIyZAVErUFEV2MnOAxFnRW+ii3861zF6hxkxBX1PNBUVkU6JhDT
oLq9RDwQ3wxBaZII7uPjutIoaTvDYh3XKOFYsNZw1wGT2apg+aMP0rVAYaZL3081VlKFH1jDoMe0
HSxCW5m3jE+8yrotcqQd5yIqWMtjt2bZXRSYXD/Djp3padjK9K0z5su+s+65Y/xLR3g2VGgT5icL
OqOlJRXHEJtHiEUiFzCwiv1m8vF0FkmvD4YJUvON77wqAHvzap6z+UksU94IkftKl32K9dWo+avq
6H4o1glGXOfoHTzCMqwjJ+3W7Nhs0gciWfJUAAESTW+g1uB+wA1TgWiz36KVjx/4tsiylUXR3cp1
WZ/0JlXXatcZegXdtyuqYHbkal6HrYmXbTqMG82eljGMWqLYejPSLLiLR5fexBy249pJ2M8EbVET
xxQvbdeFPu4ujqcKr8Cd5iYkZpMtj/L1DALQqisuLK2ItKGrt7Eb6jSXhlckmilIdCCN+krm+HKt
h0z9tFO8K5HCud6OAxyyRuChtNXuR3HGLo/Nv8/HqekH1Bc4BPqIXac/6ILktV44exn6LvoC7cwd
gN2Q4xqS+VDwYngIhlDUZs7Z53CZn6cBLFeHxu1QxHR4XW2s1ipL1vU1Cam41nFCXUWFG8q6h7x5
TXmML92F0Kh7Z2qgoMn9gLbk2tio/zqypPgy0i76PEaJvTXwXpuMb+tVAtH3BfJ5PF7WNMerZAi3
u5zSBHUrFsfLTZh+TccLKuqX+bJru1i+r6YM+nbKe1iZkIPX/GrJln6tpeidglu0r5D7CjtEdTJh
HanyoB+yu4nL+J0xpsYqnnAM1TAVrKxH/N0aAhbuCeZ5djXnOi4atPBmEqi1xu565qv6xNG1sXrk
SRJ+wcZrRUWC0ppToMa8UXwITv2Wxc8X5/8Q7WbUVe8Dfp9lbnjXpuTYHtB5HlZNwTOtNEtuYb6J
G+6BhVSiQ0lz66Tm72OsXF9LCIWm6s3kvirl8azgoUSfpjl0yG8GvpOp4KmZdhlMcg2ZuQP01Lsd
xTzAz+8YrWzoYS6Yukk9+rcqQDmimoluQdYG24zkQLib7EXJaXotuHH1KBPZTGGwhWdti+gJ/lhJ
wPWghqtyZdl0tCiqrrH6LbZ1G2MDSjmC0hMcRrCeE2ajoNb0wtL5Ocx4K7gBfw+mBDdRnbKZDelo
Dp3JYYbMYz2MKNJEe2ljTU391seoqZOF7p8XqZfxPl4jKxt0FXTEkkbydee1iHQ3+WMQxsOS3uc6
oWU1RlufvE0AP4OlNkHpBnqA5TW68G5ka76SGt22S3mldzZLXRfYcDPfMDhQ5VRpZEJS3yzG03m8
8SWFpFNLjQaMP0wG7HRSOYRFiD4Izbf+c9eN6do1Fo8KjBCkhJJFVMZta64OHWq15UozHcy/yU06
k7UMBNO8tNkGt+yJhjHckyMH6qSWRvg0CIeHQfMR1yENADzpASwyVHwDCBxf//sckCLEeZTD4hvC
mcs+ZyKL2dMfcmvAL5aBmshF3Iwj6vgNYv0X8x2O/8XJwHO4F9+6lIYuP4KM3vG8bZEk/avmlgWs
Wkpg4AE6WzrYHFsElmP1ohkEhfJWoaB053AgoU9r3Um9jccd/hSuFra8YR3ek1IvZm6ySWm/3CQa
X2+v+hWchKyBrSQzfUpUxvu8zYGa9sl1qPXmV5BEvUKNg96h2w6clwPW40CtzQiO6C4GjoXSnROs
mJ70KKLK9NirYvaeQ0c10EL7GlCUnmzadotL+6nlFswMgXawrOXtjtKvbGkw5RQ+lqGE6ypKN5K2
hd+T9Ajnbn7hpZ6eA/AxqopXhOKqVOPZacGLzN/CZUSVhQwNE2O75pKwxgiQJq7a4w324Z5r/3tW
55r0nXmA3GlOUHL72zWkST3Gub4bIu/nliczcCtDYOXyYHoaiLPF1YYSrqiShfu0cosdl6NQIThE
V3K7ILpixm98D+mIpTWdaZVjH9WNSnb/KPvAOhQIwdSiAkWHSAeeZUeRp2pu6Fy692CnzvMq6uwW
PZZjP2aNxdTzrwLzoUUlB4PWYNkDg25EDBFrUU4IedIsG823LnAXxQUVdbzU+8i6A/JjhgaHWUcl
8Jp4I0tNw3Rd29SH8hTJtXidzJRCsCxo3K01BMU+Q4daeHmeyzzUTRxmWn0GvADwARQqOLkaVMZm
UCBFMcggiFvnDp33XKUb6vA7B8vMVTYZi7YY8+k66OQKGF1niGiBjuMz4IvYa9mUS0ZgKgWKHZF+
woUpXBdUCei408anbag1BLP3HcgB7g1KPuggXPE9d37II+4ePC52kxJaknYAHfE9AH4E8XDg3W2A
ZVh+QXNp2YdimMWl6kri/oQKJr8WaZH171giE39MTDo8rjahdwAdu2+diHDmS7s7AGdUQxnZ995V
vA/tc+ky/WDFxPAVEK+Dv1vMK1bTYkbcYMzIYwT5sGjIsNqrCKJF31jQLZ9skiLfmI0yPS3pMAAw
FNnTRrv1oOIl/JwLGVWkAEnIxLSDsZe7r5AO8mdkPeO+ibU0iDxNCxB30htirrpcgC+Tyw6gs6PW
4XDJdIEb0A3XfCl8fIDHA6c0TBB4bDqTGCy9ARILfaV4AUAw6eSGomDx8i7RXN92cWTKJsw6XhyA
MvCP1hUK3LBa8C3h5xdfUsHKrppRgN9vwaXilRiosFSoqX1f5SMlAErGrWcNNvQB7BTkkod9hgJQ
7TnneTsaIHJNEs59u28Ov9NlAOIAfsy8MQn/zUq2tDGVrrYq868FVgtz49QieDNtpnyUmVAaH5dl
GxqCHirQHK93yUTjm5JNYwHQh/q5EhElN0HA4nc/9eO1C7h8AG031KC44jdk6/QCp6Agvu4zOYi6
sGnvG239IKtJlIq2mvXlhPVXJNPNEMU+O6jcZi8BZdydoVyNCcSAdfbVxOfotSdgFqoZKMV5BSMS
toXNPJoCEiOXsNEwm9s5GtjHMXPC1tg3UdWhPm9YIrbyct7ye5tYyNBJvNJzOc3J5w2cRFcZPb0m
cl4/C7WuFWLk0B7BRAJ16gxu+Um8doENO9RWLqgDVB53QiMkKKG7fFk6HVyJAQ91I/qxuFdardcq
25DWEMV4C12gOAU0LF+gGPcFboMuf+fxnrQuDeWjET6+GvGeiLgeTGkv1Vo4A35ZIPEUUpYnmbAl
b3YSoHCae+KOSxab6REp3r4RELcagVs9rbck0y3Kl+hm8SsD3Wejz4x695lQFVVc6hDBwmxs53Ki
vwEMDps0S9VziXL/GKU0el/BkH8O8StZFTicOED7n5GaKe8cbPojNwpPXanfgBirB65DT6tSrWGE
52B/IF0woqKJ0vmI/UAsaDNk0pQF8BL89q3dYvFpgNjRlA6Nyoas8145Fq0vQTmlTwNL0rlOoepf
cb5EMLPASo5J8tVrqP+iHTn0IPGODWqcTQMXGzmkz+ho15k/ilSuaXavBrZhlZdleaGLxIZcNmx+
54d5g9cAy3C9Tz1gGH+0MdIWcZOsoVPsKtRsHvYroNhePdPe2exrtqTreBrWclZpTVMRqqApTZZa
gcVrBI+CxBcIh4FEfR42QOeiHWVjGfq+FmMuQnelvYOKWeWxyw5putjyS74sCovKxsfJTVjHMhZm
Deo8kAZN4POuA5KSgpICUIwyHlyUR0YbDw1A9DQDzMn4+j3cAl/IBpYkULtWcutHBs+x70bwPryj
Fwwc9+AGG6Qbuj3cPpikVGhh+sTlQryspaVmaGClluj7EPrp3XAehlXqtZEW042iNuSJltu7HncT
+Qp/hfe+tmuKkqzaOcPKcKIIEQ6khmJ9+SZp3oVkOrLOmWL7pINuj7Oqp+WI/waavcjdTaAkGuab
wUs65bULSVmYw7+25372kuEagpW4vGnmkieFVXkJ/P/oU0IqK1UIzv/7vPJLCsj8QYMk2SJgKcuC
pRrwlgldgKhCP8Ci+zcH8LMRfDkAWOqIkGJgJ1xCmEI/H0CfeaSIur74Nv5xAPMfjMY8kgl3XLDC
F/vDKf1zfsLDH87jH3MAvq4cGZSOqV/++V948/plVK78X5ff+vtP/T4s4R//+rjO+L9/+SN4lYVY
5fqb+vWnfvq7+PQ/j+4yQ+Gnf/xlnMM/Gdjw+F3qSf2T//jTNIefxln8OM0BE09BkvzdNP/LOIf6
DSF9tCk9rO5/zHL447f+HOYQ4bXeUYLsTHgJ+15eJv1/hzkEeP3031K8wfgS6vg9fIYs0Z/THC7v
cY3g4V4GeSCXD1/8f/4PuLaXgQ54V0WW4A/iPeEleAZQDf/JQIdfPPDfXX4EevC84f0jCPekl5vt
BzJGAaPnm9buvNgEgV+LnbBaE0DL9VhY8yEPMn89OLOMbRiO6lWtqXkeU+lAYJFl+/TD2fvzNvsx
Ix79/Gz9wRxgYMHlFg9hzOc4Iz8eTbp4PhKmzTnelujcjftCK12saOidUWCIjU31a2F40FdiLtVW
A0vCVgDEuUixexbLN6JUeI+/wVDYTlP0DJSjjI4+z+j3CIS1+zfPYvxLavZ3SgIZFaA1YMnCMv6F
kkh7SBNAANUZGYKua3IkIZ5Nil3joAq/Zhho4KKh6Qv0wHuRozTyY5gcZ+zDESShVX1jTsqo7gOe
NZCiV3RDMwvhlYlsBFy8Duxh1FCW0eDIBqYIeZFsu0FqInMt5l3kd71gZj7+6+vw18uAJSYscCFy
3BsIPP18GQofoIHhkzxjXAF5Wbsyiqt0jHFr8EW7B+sEeeI0mj7/64/9eWHLQsiQgEAwZgjt++X/
XQ7rh3sRYleXctkt56XcozOYcH2GgQ/KnrKXf/1JlyXyB77i908iiFRdCCukii7TwH/8JL6AKdyg
rZ9h16ZvCAWJ6UhV6eNq5KwNN+DKdRL6cq1hxNn53900vwJS+JaIeGYY0YHXmmF1+OXjAYX12EDg
2BTbmGHAhc7exulyDAgqyBYNwFr5EJf+aKfNwowb1+I7FARkTIhPb10ODaBO7AB1f4DD/gzVOE4a
Vnr/nQeGN2EA26HOYMGJE4Y+7/rfgTN/vVDAj7BsIJSOMBz2wp9PX5jrbMkyGtxFms5vPQrnroqC
US1plXjkd68t68d3YOnwWvcN+C429b5GG1L8pop9X2vPugIl2GC+94A+v5mMswJj7v++Ev83awmo
rl8vMnJzuIkuUxIRd8qKS7bsh9spF2UfguBO7oYUpB8pG0XYfrwkmshBGa2BnG7hBzP7TGPmBCsg
XC1HGQt+nFKOLPW0zY8cU2lcVUy2+2SHeb3yEoUVzzb+DJ+sbCiY1Fqvw9AjnJigNaKDXM6WBxKN
FGrurovIUKHjB0QUGzaf4KdMj/HQPXTwx1w16WI7K7p9VPEcJE1uYpzI3sdYG1K971Voy+F2Yln5
SkOotywvo9sd5Q+pbchQxeKe76+CUqA5sr7cm8hmQbMP7iuX8CI1gFh0jrMqDlRu+gqzNuKPG8P8
niMtgqivdjbSd4IIGyTMZQu+6Bk+Oof8egXim19FG5m+9YbneO6TeXzqCXVFZVA7XgsqdO1xHlDN
x+QefoFrUbNuhyhykWknwIEw7CziPrWJGW1nmQioouSeURjFDcBldcJWE9sasYUctX0xfXZzyG5i
QfhTBkXqqMkQxEBi5/2tzFfRytAN+8GMZXcIUFS/QVq3vwGB4lkNYCnU1dLFpjs4Nax4OKxtfWd0
eRArZc2kkvm04EeBeaZixYmGg14NchgC6CIWaNeaub1K1UTrRAXLDMFmbLsLEPjBJlHa9FKAlhlw
J6lDoiyRR5cU7jaHgDBRYIybmucKbgzMrm+MsjjeX6UN3EU8IAJL+fo19vOgEgEtU2sentWowBRB
nNr2I/ApRcGh9EARhnhan0LMP7gafJLoWuMaUBgyIYGAwuBtNgul2A/VNNqtxcSALqzFpCJ6z7Yw
B1kw+sKyxruJqNtcqgR3lKVrJG2tsRce8oAN9N7g0cm7eis5+v4owcCDwzL1glQouiG5tA7uRB1Q
EhH0AxQUNmAziowGI5iLcbBTMc2tpKgKDtnSzXtd7hlWzCUe4erPTAQTcAXfyQeoYaCb164vfwu0
KfqwCddYAb4pdXnO4ADS6yUpVJEN9eLktvuTDLG6wazqWAFAXZp9OxAhl/7gp3z2p1DKmddZDAGg
Llzmp6NAPC2ocVnjTwGf96iBHDzODf4XBvewRwLQEGpZPg3zTOarRBA1tSPQ58ddqwTmOqS06IZZ
JosF5lrM1JEKw5cnbMbJNTqbeDxojiNoVzV1e1tGbkdDMnhu7+YS/Ewb4FERILMifS0wtWtqOpp0
uinAMvKqLyTqkwUzmfbvaDJJDv9EwVtCUJdtV1HYpydU8mNeA17akqZfe9rsmo7oiq3gBEk+O6R1
Avx6hxAx7MFNSKf0EHEKgqBgpOBthBFI6xXrI9u1I0kZBgPg56qIQL7A7dMBS3W2h+gLvyL4ItCv
e2RG8BzF52jH5KS+Kk0aJB/9ZGN9zjnxa7Ogr73L9IItqQPyiF8gENGTA2KV0fIKJ2Rh1xuiZu4g
bbb3N0h2q4/pEGdvmaMQRMsINy8iJuDcWpnvPQ4eZBd4wASR9hqtYdsjVvg6WYvKYugG84S2zb5z
wRI4I7ajbYkZRPBoS4q/k00rgqWLMNEZ3lOSfpAqiz5GCg5DZXNkV2uFOJ5rEWIa+pOAhQcrvYBm
ed8HBXlZwu1ycw7DJo/FJJl8cD5VZR1uFteG2QUHtoK5iG6wg5EXNNe4u2eskqLB6/zceqUkofHD
IEDVPMblQtIrlw5W3ymnLsUn8+4hG4Pctaud8dHruu8wB+JZ7QBDisuXvxy6xfqE44KwdE6zBd9C
b8igVGxcx70mo8Gjw6du7D8sSF3CNNWoCjr8N6ypsVrY/RalHlpHwlmIy41ct76bAwbdsA/1BpsQ
BHzSerOBo8O/YWrjG2EBgUlyqZPVMr/ANiHXYJ37skJwccR9Aff5zS7wAOBlDP4xUS6UNx3K3OFm
5SBwn0rsFke5hNF5I932ijka+XYJx/Xx9Vp2RN9gUAo0Ky+KDeYmEOsjj3FaL9a9/zpOY/bgtISs
u2Gg0PjJ5nMnT7BL598QzLqsIf02sQZ9QJm0PWg0eeAYiPUpCOl8mC3vIB+nWOa8sOyxB/V4A09q
yJosFjESI1OWYjtiMXkRGArWtVO84DHZA5qQq3RZo+37jAXZX5cRbqkWpAvukSGDwXKA5WJabDJ2
u4mEjvOakkkZ7LSJCVF6b8MXQYARBh5l+vVOlIi+AWvzEkPmosKAmonxp9wcXWAoi5k5VxyXxdYB
BBsEoI1Rd84XMBOM3KqykKd0hqhx2u0FcoQfLfcjn8Z1vVtyl94GCoJ9y7ZlNjcdErysLjM5s4+o
ROS3EPwqSMeil6YambSQia0pN+wCfnuaYPD3n6N1T0pTAcYZ/TNXYCnwxwAAtQz56e46oNy+sy4M
DFKTMh+veswc+uBkQPejgIfet/2ucZP2sRqSBzdOe3aec34x6rkJ87s0YiAQPaob2VpwBUByy6W/
OIrFjLVDyqmNXOJEYyYAOccd4Xccauq6ovEUJkRNOWzxT5BOo48DE7jXsNORF9zrs3xYyIJBVDrm
BLmxmQFwcPoVwWBbRtU4muI5g5NvGwu2OQVqNWF8wUYxVA2bO+7olvcJriYaB+9u+0SN620hOEse
QKVM+RVS+vCbeueC7m4UAbfNLGHvVajGtLqbJorjF0jiHSQrRwbsNQyv/Jbiufc58GUMR2EFXvCD
qvQ/UlL+X0SSn7SXfybJ/H+opERhiPL77/X7X5SU/z29vb/9Y379ZdjkH7/yp4xS4gWqSPFgQA+i
DxEEk/zvMkpZ/i1F1CS5NFVAfX7XSv6UUZLsbxhQnxV4Pcql00KS5x8yCl72gP4Lb71BtCFDu/kf
ySi/qACXUWaXzEuErg5DOv4iyQ0Rj1OZpMGJBEE6VP3g95Mmqfz4wzn5b3qaX/qu3z+mgLdD8GlY
hH+dvrlHUnisXMEJIZnoI6Y1wHTRYXk/W0wf/DdNHk7ojy3y5bMwAQtD+7ApYBhY9kv3hGsxSGIS
evLRSu7DXJg7RCiAq+6he8Aq3f+7OEYS/fXroffPoyzEbBmMGw5/aYvdKLMN4Uh66r2g2Fi3Vd0C
oe0AKAIKzCDwWPICKS2JD6GG8QVTG2Ptjjmol+W4ZZ2uM2NSW2m3wEIYenEiq4NU5IkI3xfXX2A7
SY5w58jR7qI/zrmPaySFl2vYMvOHacSArikQ6jlS+XKNsVj8gLF8/Zl61Z/TDoMom6Rb2BHl+HzV
dxLDR5ScP8TInn4Hkr6/sDEVLwXv7kLt+9YWEyow4I6nPU7GuzSN87JmQ6I/xFLPv+3Jvt7v6OOf
47AfqgWV3SHb2AI7azboKhd7CleKaV77Fh9LEyJ1g/E/bcTA36ChkTdFpNYzTFfEcVFbvoVTF5ym
/AJUicCeNg/lvkodoTkE9Hj9KksMQc332QHO3ZmuUP+g+hdlegjR9b72Y0Ds2DgmCuxahbdIKL/i
TdOZl7ds4cOhWApUlJbiPq9DhsmAsCDn5V2Lgr8OmOzwaSBj/Eig0TO0p5J8G0qMKkEhKlBaz7Ff
R2Q1encQpoS3hRAZex/ZVGY12ODpPpwA39TIM2ANxziUGw/G4qX0OwZR0V4A0bqg0sMOuDkFJHSP
cPEjc31YU4fChSG528ooFK8Yy2MOqwvVoTQQLyuHmS7fxDyzI1vYVy8G3nSIRd50pESCINozhioE
J4ctdLrbpnn/BFEh+JCgML4Nd0RwK+miEXyZCYNm7AcaVsGKrGneZ1cUIiYiQotsE9+Pt+HQ6W+d
zNX7GPlhavduz5c2UD25ximQmCSSf93UVFtASedlgsiHSbbfwsRZeIXpDQ2Uw57XPRMJB2yjfDoG
vITnAqoN1p9dEPhPwxqjTfKq4OpmCEQK7kV1iKKF5fCG1BvFDxdfEqqhBq25Bxucb4/UTvFtjqo3
cyi3qxIvqsatjafHwdnDvMsUYZDIfHdzERwyEag7DHLa3xWG7da4stk7B0l+j14CUbddqcctU0GN
ZMYjYs19q7P9c6BFco53Frex3+U5gMLTWpLbp2UhuoYCYg5+Tj8sdv5UJHSNTz1oOpNWCoSj/7rk
PWIbFHoM2nKNmM1U+ZLHQ7UDhWjGbh4Rk4+1H2s/bfl+W9rJu6uJhJgjWjOApmFFA1hBL6O0GIWA
ultL2+FErFujvZHDxxQDCzo1VQhjl8Z+LLxiLYlk0QGhBz2CPheRtipD+1wRVS7L0Rqklz67IMVo
GOQkY7BmpZVh00+BLw9yQNWaYhCFwpyA0e7doxmzyxAZ3pvunG9AcKsVYR370IFVK5OK55tkN4QG
Bng7RgRkrzEHwYws3UID1qKSJ/HLgCB6dtiQPim+FQ6YVsUUppxcjx5DJcXTOKNogXVK5PgaZHx8
ImbujyJcsAyvc5GdTKiml4L64JLMjqmvrM6T68yZNazsbqyusoCRY4ae9xohpu02ci47QXUKi//D
3pktx41kW/ZX+geQBsfgAB47EHOQwXl8gVGkhHl0zF/fC8zMSklVN2V5X7vKyuqhZAxEYHI/5+y9
NvKGiTl5Pnvi3mA7n6xUvfzfTiCDu2nqhndpFPSvC1FUW1Sr5qHM8PysOtr12L4y61ApvTgyzvQ2
bd7NhZ/XAdoYZHflqbYsShGnd8RWSFWusyZGaVV5rV8o3R1XeFGYXAeB94rWOadO0Yq7WYF3WtmF
1iEf6If8ZjSt6qvFSOyCLxKH2xQTPIo8L5/XcC6yaNOARTtQt3lXmR3LtyxHrAAtpgeyppz8RhvS
ZaABQ6PwYcfxb7bW5t/YrmaPpt6O11maSGBPc17ehXnEhlsxjRG8PFLZ8dxm6//uAj8h6/8xiuCv
yRidssUs/D9vA+8+k7/8t6bM4uLt+6HaH3/6x3aQzDsIdLqz2FKFjan5r92gueRSM237xEd+/stf
m0GkTFjVDDpAn2kHf20GGbdhs7EdG2+tbTDm/iczNfuTsP3deIHZMKMsrLN8pjQF9tIfO88dKsmi
SeJyz6BaDBsvSk0anUXssQjBBJSFQbFfhIl741HA9CuDRMHzICF39llEi69BlH+fBLH5JLHnXGPO
L+56JQMgH4LNF3uGau8wWt9XzVK7U8/Zp5jXC27ZokRkM6YyXyM+Q/cSsZs0L9xMi86pKDXcq2z1
jt1cZ/WGF/gi+ZqmQfhpJ6NxjZun+KbyjicAGY0FVVBZsNST8TqNAguMO/QGxiOaSQMYnS+ib7tI
1pg6jejQj4pCtZzkpYFzpPJbIzAPHW0jYBtQJT0W62Iz0mB80XO+FJDSoP3KUUSP5qYA7BV0hTJX
LgLOiA/Opo032eZhDArZ+DDDynSDts7GtMegb2POev4t5oLv7cAer2VhU+Lj/Aw+Zmmjbk3RpT5V
LId8Lt/syYKT+lQMenrrpWxgccBGV0MXFPeVcsurVjX9dBprfDlrEBtoqin9WPuzHOuOrwuQaXRf
K/eG8phNn0RkvEpEEORsgWIU1haOzhvaXNWrCF33OshK6BVIU3SxDhASFGsvG8qt4+ZqZc/OYazy
6gpJrHdtg5iOLhJ243vF+dv2Ze1dIJiud3MUDRdR5xnbkQFfjqQJybsQtXujWdwtScrb0ptce5+L
MPfzoBH3QZlaB9TM5lHLYppUTE6v0qZGeDpb+bSRTiKOlhoGv87Sjp42ezu1Z3vR8puFuWXPU38Z
5rx+WVjQTxWSUtP35tqWPg5K9QEJxd3gFG3p1w+TdzPSpF1Nk+XdGSgKeEnPY7jxRnBW7MPNVyNg
sok9UrMhsETa8ObOKSpuJbyLCoVduKW5Hh6tMSnifeDU7XzousmYdnHQaRcGq+WAo5ImsKmPbgGI
w/SS9kDbyoaDNFTdrUNzOr2IzNG7rlxNYFGDTPdQiMm6jPC2DiGicsS7KxfVyWzjEmlmcxeOk+4F
7EOTAaqpxolo9pMdl+5L3TN71VpvqH1UhGbA9dGGfgWysKuHzRJzv0U+OBvdHsOP1h5biSzpkNX1
FD8ZFUiFo81/sFxy+zw7QajdTUOj6OsGl0h4+lPct+opqvMzoK7wIusQV73TjMLltTLMvLS0Y5jr
TrF2jEx/sIFwbeN5wmwzt/MmwBO51QFUrWCtZOBOwuExbpEPal5UXirUSCh02tukExGblMpgg5gg
KqBhFA2PUgah3PN4a/dFaAa7smlmxhC2SSMdUEWFB8FAtgQ6eKu1hgo/7ILvsJ/0eMR12BndempH
lDWunhzKDiXR5BW35Yz2OFHBIemRlnowho8D5IyNM6L0tVqkQnU57gbiBT7smTdNFjR+TcNpdEWy
m2JDYMlpHYhB411LJMIa3MvObRP7UTQ4j5Ou67BKdOXV4Oq3FKnGqm9mLtsi8w0t5Ow9vBleFTLc
BoXyFZXZSUdD+TWZHAgwRvACTHXYj0Od3RWyd6+SvgSLukiGrUz118wtzW0NNRY1fjTtLDmf49qd
GPzprR9FKgORnrL+o/f2RcreM26aslqn7vxSBo7NVtS5mqvmskWUjdA66v3ULBH/BwUeX6npl00T
DFdSZS4knfKLx9t2V8TC3cQBeCASPZh3BLbySwhG+7ksY7RUvXZM8hh3WDb1iB7C1zI20HeKKEaK
McEj9rqSuq9smETWlIZ52D4kXdNyYwzaLmzGb10js90UJdOmbQZx3wsjeDVTKD2rMYisBXaYM4xk
NH3oqJnTvZlb9qmoYwjQ8HHiVRWW1M1dah1dlNn+wiC86Sp2jTHc4HWSo/VqbSvnrpCzc55UjYG2
T+c42bh13N56eJEfPZraG5PG9oYdVHSePbf+UpT0uEFMxekzRvx8K7q+WZF84W5z1eJtmfvqBQWw
/uQ1obZhNEupA4MUGYBRnvAiNfvczN0bk3+4VHLUruAfQy6scwxEXt1tQzXLc2MEYqT0b1PBtjcJ
L7w0d6E4FmhKszbuHETfJhvwWsbz2hrQeNqAx5hOCvNsYnOEpxGNGEkqegdOGbg73DbpEQQgOku2
4KsaHuBjW+nqiTuuqNdxN1Qn3WxuZZCUN+Pc6mczSYu123Kmu4zbwBq2Oi4Yf6SBujcMyKC9stBu
Bk7y1VRW/rXLGwZVMOXgi7TUBayDcjoWDiu2n0y1vZZ2LB5K9DC3kZe6Hwgiw03l1e5FHRivmtd9
iwlmeZaGXPbRBZYIy34oLFxOPFMpksq0X/WC99w81cFD2FgMLZPXACM14AV7B7awXc3B3DNfmp6n
fvKw5JQgN5zmrc4zmKWmfkijMd00wqi+hgFeipR5GeBGM9n3RleUvjFPgLNkIK4zJdFOqiG9KYQ8
E4xUXORz023y1tDxwIV93PpYdYeKOj2fzyEMnE2Vq48OAS0TJ7ZS7C/i2UTiafbZ3hHJjJ1dxyBB
z6bFv4gTPTJrZj1Wo1agIcwNNXv8xuDsXjNkuTaHWn+NDCfel8ASvzaiue168S3IacEzJIQn4bwU
mdDXVLDxbkx13NpTMF9UTNZXCL5fyhDp+Yx/cSjSgHdnVW36osbxRKtpn4wT08O+OthQSVaJFA8x
ksgLsJkEesSS6qahtWQkbeRXerJrejzdZTveWTNDDTFHBSgl2++iZP7AVmH5rdmVdwEULz9WwFNX
QW5Oa6YV/caWZYssl5Hs2JWInjX3PQiNZ4F36EWvQXLTr8v83LVvatFyX9nvuZGLA018zGrULqeq
6MtTVxtfnXzw2Rd8KPBH0brjK0FrVMPerSivlFUR/VBjEOpdGe3YsTi3QpvCdZQNyRYZ6niFnSK4
xvJ8bLjoZQbeMdJxMCvLt52KW1S44XqKRmPdiESczSp5GNNK3gZjBM12iJFVgBQub/HaoKNR2srp
Jb+Odp7Fkn6h1UquGQ7CzYx3y2azFsVV6bQhIxUPi175zY7DfQ0LchVp+lUwqKs5wx+OdNFvFNP7
Kn9tMg9jvhrvB9VdV6K9ony8ZLeGMUvOE899wORi6lL2gCBRpoTHHD8RbjzbjDF+AwKwL4oEw7DM
68KPZLMyJsdGTp/m87WBP4lI0v+2/+N2+kXhJ0hd+bu67/8SX1D+WPD9/id/qih1jwoNNhClFZXg
Zzf690gsbRFYEuwiqd4weHvILP+lojQd2v/81e86Sf6F7/CnipK4LAPaEB8Hiwsy1D8p+CBJ/9gs
R0aMvEh4oN91vg/aiR8Lvrx2lKLoGoC/VlBhlg1ym2fFyuVh1hml9i5pCknttHO3S7mjc/0Jtgka
6JR5sLo3cqtlT7bIjY1N1oAYGRJ6JtSK7l0s2ddI4oLYJwtGxMOI2dMilSinovSmfaINg4ZlB3Za
3h9wXOWqx5eBF6KtLotsSgp6KDG1jOdWxYUN8OhIN73XD0ksp8vJCoL7xKwrYC7yWVNlvxvK3lmg
1ICj7aS6+Fz282SkHWLbqXEfsX4WfhzRr0IUsEzQYc57mwFL4UB3Z+bxlpkcb2cMc296ZdAIImqs
vyTBhZEk+gpaUU2/DBzZB+vZrhj7bDf2hBWsUazFB0bEtXP2vLZPfMUmdAdnAz2crKZ21zZp3620
JRspyq10XwXNsE3mxpmxGRV8MBYcnvi8D/orww6Kl3aYxO1AnFW/K9sEmLNStAhDTNa0VMNpXqk0
b9aJXffPbWNNj8FcOtJvwroaD2MJHA+Dl80PxZzXGc+E6NRgpEWGSozFzhJpv5FhVYuVEs3FAAt7
gb3A7qErgFYyTgf7IGlAPXoJ80njUzYUf0qIok85Uc+tTvG8iIxq5EbGp/DIXDRI8lOO1Cetw/5x
ESnZn4IlMn4QL7FegTZHwrQHSRit8T8jczIWxdOwaJ/gViGDmj4lUfhVkUeJRSnlBLH+NgOb26Y2
T+N26apvUPZMb/kiQUZlk6O5KsfqThRNdKLgzp7LRZsV6L0Y/EoLW8jyzJHXRuNcAQVFz7Uou1BR
QkJGro/gS/8Uf4VhVm+nPhwZQDfe1bioxOpFL9YtyrHoU0RWLnoyePXgSeyoowvOvuIAFc84tIsG
jWy84JWnAWEa7GvvS5D3yNUm1fbpLmxr4z7I4u4wNLmzxSKMyM0rAnWHq+hdXxRw/aKFI78HWRxP
QHwoWa5yf/oUzoWLhi6XmXVMF13dMk3a9SqSwcpWsxBre9HgqU85nkKYBz+nOdeuPn/J2jxYo6eZ
HmmP5PvgU9SnaToCv2rR+vWL6m8qx+Jc25SXq/ZTFmj0ceDbi1ZQREH5IMO6XQ2aVxwAPIRPLRMH
HF5tkN2mi+ZQzaBHcMvv2hLAV+MEFn1bK9Vv7KhGb9eOSBfLwjJIdbEDEZw+fZmd3VZXzNU9xHJ6
9pWB+nRg0FX64wJs68fJWxVB+54gNkJ3RPlv48rfLzxubNvG2zhMTxBhbb9IQ29ce73hNOkagw/X
ES1RHVWdvB6QCyBfWQGE7abmf2Ev+P9xKI6Lw2WS/D+3Q59i9U5AY/yv9PBlLv7HX/05GJe/0WQk
4JFmDU0I1r9/tUI94zfiGiUcOQxBFq04/ulPfwErI3zUZczqLmlPJl/jj5UR6wE9DQcoJ01SWml8
wz89FH9MqP8uMPLHKTIeFeYVNCuYtPNpSMl/WhjBQwIXsCN58sKy2Tc57Uub98t+niZUT22jbLrA
/zpB/2FE/p8OSLyUTifUZhQs+GHfi35TfnVlVLl9Mm1wMKIfCH/x0KzLDNtpOCnxC7LojzPr338g
QYacL3B9y/r/4/E85gYKHb11cspIviUeBzCTRNwrAud+ocr/Uc/8eSguNdeaLjViLprUP/y0BpFi
2KXCOqX5YL/FToK6uyVIEutXKM7tPHuPTspGvKEhevv3Z/U//EruJJu7wdXRy/9MShzqlGBG5o0n
ZSTWoXAhQ66A+7s4/9Gx+39/MLHM+f9qn3/+UO5A4QFdFHhglmfk+2sIt0blNJKsE8QIDuRUWN5X
mPnRfPatk6CnNJMqOubjiPRvwv+gni1RIiQbM6SgulF4/wiFuXwhqXMzMUYVDrGVP+sucGFjFg4D
6+QOFj/XY7y0g1fA//zvjoWIzGY7aQlunJ9uqDChwxfRVSVqbCBGwtLUh9Pm422XGNXL35/o5Tz+
eJ6Znlh4k3CuMB222Tl/f57jtmo0WXbWqQ+ib8pQ3qZj3fvF1fz3W4eDYCNZzqHgLfXTxdT7xHJa
I7NOM7bTU+LiLly5NNBJeUvpOf39L/oJPfv7lSKbVmAopEj41AJ9/5OQiwrSo4R5SowYFbDZc0wR
aCCdMnJCXtzFb0GThYcUb+vthDvgAD7GPPzia/z7HSx1HDSMH3hUrX8T6gSEKKHSZqg/uq1xNNNC
AJTFgnDBHoE7FLQGhOrUaORqIkZArD8fXnsJiuIN0uz//tv8pytATeIRv8mVxiP042VG1CLHPK14
eEkPuNV1fVgNRVeerIqIx39+KCnRT2BeIyP45ztqrNymRApqnmJIR7fEb/DIatnIq95l+Pt7MY3E
jfTlX77qeX1bFnGWjoduhsP92+1bRW1J+73SjqgM0X1q8KleCjOrXubBHa975JruL+5lysLvn5jl
kCSVoaOVS3ahxaDxx1NZpbDH0aB5R+A68Q6PPB1k1ajxlhbseBsvGnman/N4HbmJcY9CyNvkY1ue
qE5QH5IESLe3Zvn7fIO0Vop6dwLIMDNu0pCux6L81UnCz/Pjd2bhXyRj3IiezuCTpfHH71zAWrHG
3LSOKtPzLbGm87aMpUbShUphour5BFsNIRVGCb9MqkluBB9206Diz8kQgcZDc4r9NnTOsP2YwWV8
gNrk1sVNw3NlkH8brRdURb+yEU3jJwg9PFVEYt1mqCH2yGLaj4aS6AC7AG2lSgzzMBhJ/dIC0Du5
ocU0MeEEYo1LpusQlUWzYVfuPbZzpCU+BUMtIFngh1vhrm1QcXqRTH2UBOCHwi425S4rao6BQ/z0
OTAFgYUsxOrhdQL0rkgmiErukMoS1QsxtOiyEb968jjg1D6pNqQGRACGpj2lu/SRAmOHtlMY1ZFM
6ekWQeJ4rVGdobGt0jB+FSBPqDhnjAaw8lCzP9ZZyb0HYegtZfaLKHiRwk+oNT4UyEdW6J5imBwF
472aA7DCtVPfNpJ9vj1QPIFphBPE+xfj8+DZrDBiEuJeM2se0pHulBWkmg8XjjMaxMHjZBnxDmG8
+mgAr6wXB8N9i1EhRBscOLdKoYYxeiZ2lWdxnXKJbA7AnPpIqQ2NlSRGaTMrGGO+OzXeY4cjWK4g
LDCkJTkMEESCVHduOW9Wp6Pe+FzlQHS7WzoRgALwLjTJPrRGRDWT43Bnk5YCYjEvptk5RsvGRIN0
ek2H3kMVZYy3hO8hj4dbpMm1TRP2TEgXd00K7vrNkeSHraYkqVq/LxdUaa8Hjjwulq0LDae32imr
r7OdQTO99klYSQHhtayLsox4/kqUQOEmn11xjrQ841LaOer+oCQ7Z+1MFutNmwaQWqFZcS/3iYaH
Ug/4WLft3PWomYzUBaCqFVlySzgutBRj1dJQMf3KDOfL2cnmcBHl2W+MZ+03uUxlV4rIrwwFkWju
oBUa+3keUDwbobRei74v7t05ni6ZdmfrWo2lWCVaJtytwJJ2jDO89yCSOAwBKMzri7ns1roK5H1G
mh5pNdIt0hWumOmMC1g/5RZxpKA6qNggW5j+aGuWPxXzdJ8SZLrpSnrVxxQmADsjmTLK0FVx0zLZ
hp0VdPnX0m7ab66FTcQ2nO7sSawd/gSDCbIsHSjiyDNeXINeNZwEbaqeJXNRtVX2JN/H2RE4U4vi
olR6E25RvzqENXVVvBYJcEuotOUZxhU9ggL26WtIVgt2KppPk4zkri6m4CSm1ql3wB/kSxXn7XYq
qvlVkvBwBMUAYmMcrPm1yOp0Y9vG7CsB0mvtBjZjtXQoXhMiIlroTzhgU4hOu2UzCm1qrBWt5ybX
Nlg5mXSwednmrtEuLyaa8oB+brtUaQfQJWCZG/rwk91NX2GzDJtIi7WbySvz5xjnhU/jHVtfsWDK
EMSvnLR5c1qm3248a2uCcSOfkZXYAhjjg1ztbI2RzusfNVu5ShszEmvpEO/T+mlNx5FBDnHicOW4
8tVwwU7X3RummOx1EfckVgUBB7JAZq6tLowOLvlFtKpVtAbCqG2MvOweqlSCe+kLte3sFHZopL8j
3i+fvSw2VrGHj5mC3CRWh+8BciO/YVWambHxer+QFl6MKtS5ok5oJBclss1rve1gZamWm1qT7Mje
JkAdZ81IeCSUomLYlFWL7UOSuAIv1BwxjfC2bWHmwJnzy0UcNukzt6wOLInwTLh7G7cbbZ2ojWgE
FgNSH8qlE+C1MWytfAmEhbAKIIfvTFmzx0TDeux2dkAPf9Fv4XddPo04GLVL45ZXEG/jZYxQ8rYd
qaPA6i5Grn5mlFktKjIYSPXewnsz7m2RMjPEjMBXc5jtrtKsyF6Msg7Zz9GbXAmzNEqe+UgxJiCe
yK2+TRWiQwWVKdhkTqtgslnDV5R9dQi/R7OfPBl4hyby1B7KJtKGAvRgB482ib6ovn1LYLptbCte
8lomXh/P2cxI8A7RR2nuXSIgzz2aH1+CptlEw1DTmZXzFiZn9TB7IRxQhCDDQ283+S1Nw29GNj+P
hiWu0tZo97xXGeoYHgMzq6uMj5BM7I85joe7sINpes0Tn2zqng4NsGKkP9he4nRa1QDpj0wJEdaN
5GaCiJG8x/20U+GwbwlSO1l1OV3WqjVvJQNYuPZ5SicXO3wMv5B+wqNW9CO6HNFml2PTWFeoWLIr
vEbdbR7j3mxKod4t8t3wv83ml9KTPVjQajZWdmCgRFWuyXw6avCZdjNhUXmd8bqABsu82LWO09B/
CSptuBvaML0RXcdoHAbvawrPd3HwRN4Cpqa3V09mePasKb5sRgRKSJEhgkZ9qN6MmEErqdfepmCk
dBJS1wKcmipvdoJX3lZjM9uvob8aATFrgTNuyWky72VaVfu+MOc79H7BhT51802LdWrl9eHwAjmi
7ja6UlZ8hOA5Ii4HoEnfPiAr5CxHfah2gAjUnipXu0jAoz4Qi2aQwwPCvViBiNNJOOLmOQ+s8N9E
X6vLDvDxbmQhPBWJyrN15UWBWpWC8iLi5bZL4d7EfsXOAoJX7/Q3NGpBMRdJQBdU8cp7SccWANGU
2RdjbPAaxYKOUBIbTjGsjbzpAlK+QA63MNLwZXo1ggI3cyxeiGL4WsI0C7aeVs/bsAqtg2VBdDcz
Oe9V58S3Clj/Qycm9ehmzGx7Yqh8nMKg8lH/M5GLIvQOc+KQUDU4sS8IFfjQ85Z1qMW75aPHibM1
0Eh21jN1SpHNDgi7MoivsNmPD3ozaJc2JuhwFZu1uXU1s3HgjxeIWpVjQ4g0YlyzHffutyCLxqfK
Ndt3Mhmdj0G2EIT1SnYoOTLSqXyinkGhkfRdfkP+UkMeilCD7J22+gapJrxWSQ5wZ45VezSHMcIf
UDKRRw5eA9dyGuRirM5XGoPMjaFLiIpEHnrHcJ7GEcRzSb/Y7nAAntKO0bRmOf1zJKcS6mA4J1e6
Ezhoiqsiuyq8DHxwYYzaTaSZXDWiuYW1zyvCeLtH2qtjYP23F/q7/vOXE0KbIvpfnb5/NwgRbVuo
N/W9JhSBF3/zZyPU+w2XiiQcjTC3z0HgX41Q6zcpqNgksIJPBAs9iD9FofI3tKJLgw4cBKZnh+L5
zxGhCYNFAGwhYBAHEUly/6QRisz0xzqMLGj+y4bWoQti801/aoSw4zVo8XfWwc5cqOg2SS5N0fa7
mRzoI04+/IFamUBhHobpg7gB58JOF6mTK8RwW6K8WnWq0t5YJ2Bm2pZ3Bo7Caw72QMh0TBbrUFnO
Ocp6dTslfXyfKxuuf9fHhzyU4rWsAjLvEic5YqPatKh3viCOT/Yj+ADoBQlQj5Xqqvmd+E7Nj9GM
GXgrUuOOqJf0CCCsOAWOme06U63YHRSXpW3EPuZ0mFJJHh1Fr3C3xjkrcq5Jc21ooXMksg8QfpCN
V2XlZpgeXe9iUmGfIPAcjZtR6zyyFlL9UkyxfjmRSsY+rjTrLS2ebCdKI3wW+JjPWBuvxQizkc7K
PTDBci0kpLuihtWKj6Uyv8GdWFAHE14X0ReG3+RNS16JsJD9Y0KmWwRPr2FqtLMzvfoYmFduzYbQ
1zrG5Ew7JH2orQRz65hZya7Kx2TvwXpYD0iF1rozCTzGRvdUunEAci0abtoynt+9aZiewVyaNyEh
C3ug1c1Zmsl4g2aZcEQIf1sYxN0JtGf9JTe7cQ1t1dlWfdbvHJHyM0JeSVZaZCxVn6QPq/vQPHMV
N/bkm151MooQboM2bjoyiwnBLIu1soNL+jk54AftAB0vXQMnw7fSN/Wurnv7WwikEJBkG7NSW8OO
ZnlwYA+bX4vZmZn0aUl6RMYRaKhok+5UWVPyGE6x9+LUkuR0ojzhBOPfqPqhvvcCK76cdalfDkof
UaYBfn4iSFpdJJ2e3VmlVe1yWD7eakAlu7fHzEnYjZnmzTw58WUYWmyCHAc7KW4W5xY3K42Coq1d
mApmvyRk6NfovpxjGbYy8JPZyt47sofOgZSoEMfOPMkWL0xeSYiorhM/14TCIjCq7BvocvN+xH99
xt1qnozBXoLmyvAKZZe6T2bT80lqyQ651h2qIljozYXtAheqjBcUx/KyDi38sCKr9kmSQbjMoRlv
Byuyr7JqOBnRYHE70sPQ9BZ2YNi+RZ3LkjGNqdgYVeC81ebw1a7H/BCyu1zlU24fyjqwkPpW7npy
CuPRtNL3aTCr0NdCy3hx3OK+7M35UalqgotZ6DcMDmQBoI5AROKu0R4zaEBn0wtb+IMm6ze8vMm1
E6Y1CDTT9N5BnkW7ouePwjnOHtxYz/3epGui92l+SkIu4mCajNI7ONwuqZp3jqnaL6aLo41amGZB
WRyY5sljOaBLpLL3Z+mwrYmzJL0xhchu7SDby2lojzKYiwMkPKhtKAMh7XkmECgvPjho/LZwgeu1
ozAuBcWY3OIDsb7OcHZ9M00if46I8mDbnD47ZMk8OEWl3VSUNz4XlCW2iVJCE6SorrVmBCoh61Pd
AJj0PW9rt0m+CxTUfRh7GRT5mz4I+mctGCDQorm/SfTQ3Bck1VM6DXp/LvS+eTdbMKO4stYgup0d
aGKYAJnoNAbRpvvMtqmGZKIvKiLSwErSDafwalZlutNGBilomW0gMP0oF+IcAu4wmDYdRS1yirKj
VeB5/QObCAyeWeqBrkQnwGtOxdkKQr9+QglA0VsEhMEK7Tmh1+WuwpDJcJx5mGxkjXmrKaSfafET
DijEwzpMSWbs9cpI0vJLRrLmKSgj78aGzHpQyh7zFekJ7U3caimyvMK30YK8SXoru4SO/rWuZN76
FdTtc8/+1XeDfM5WRKLKDTkU3qPHqnGeiZ95wuUXo8frXz1y4/esiDNqKNWfVWixl+uH5EIlkpDP
SfMu8s5qrtskqC8TfagftSDOAKDn1YZSINwKD7LyDAtqY6vafEpBHuwlpcGmCdxyG42J8XV2wu5y
sL3qzTLrZXEh+eI5yrP4oTUo7Vc4vrytmXjhDtoz9N4pxDovguhaCKT/QLPBZoX1eKd3nPoisuf1
NLXoBkfDPblI5RMGPWV0ZTrJwI1G48HTLJvcEb2bd1Nodkhtx/aQenP1kHVE/Ygq2RCdPl+ncE82
Vd9jXZxafYZAq4EsssNxK+uyP4s+NI6eCNNXEJLpesCuiX6S5TbmET+pwMB1IVyi39O68V5SKeN1
jqXgGXFzsOfNFB2C1lhPhrSv5y7R3ivL0Y9V62pb4PTqSsRFdrAtjZRSYitvsmlwH8LBDbZCr/W7
qMfYgNE/0FCsaXJrIp44NxPqWZCx7/rc8fpH7TtjShitECXnINazib3MUNrJLnQDYHABV53wyXKw
cwAgRUdWTJ7G+s2ipGDtT5LwvrPZiCCwJpfBL0yvvanDOtuXEY/0akTxSg9BNTCOAZbV3zxCDA5Y
UqB/jYN2EZORQD2bX9PfSvet3b0AusZiWi68WTz73Ze0lS/ERbzpQfeNrtkLuvDbQoAuJQO54nh1
fmhA2G6aOr436rA6wn1yqO5T4zFNhuIde/D41AT8YV8A9niT8YTm51iBxdC7Y1Wrum93qIvIHLlk
qwXbdEXfkxZYbJSttZElZorRsB2gr2PnXtdtPclnjDPfOgL6XPQrAxcOy5mBsRcjNU1CfUeMczXv
cqCXl3FV07ioeIGy9/L6tRiDdFunU5gfXW1pXQ+JsWaTl54E/KZj18TOiw0F6ZWaIUwwlUTZyYls
0dyDMY6CXTZDUyj8UQ0zLYqwtZMPF96b9mDXwWjj5O0DGPMacR6H2onNdaHp067xymLbS/WEQ3FY
NSMCZB0dFHZJ6wmm5LCXcUU0fN7SyCuLcesRDOrTCDrGjXVBZxJPr65BnktpSz6CMtf27EUeijnK
NpE0nCMrCFnQWhySg5QJP8QxcUbXU58bruZxblGuRPHwtiQAHxtPaihFtW4ninHC27Bst+h2dqS1
m80pjg9psKWAnNZ9GbR7srAsWmBuvFNYtPwpsG5y9K/rpNbCw2yF7YE4o+DY5EZ8bHUSf0SWgQoR
1QXeWII5Qqd+7UyZ+cCYMYLUfQywmBkKyCiERrRNN0NgVeOqjFIWMrgSxJ937r5DZoYF2qCdrgf6
N6uDr+pXaUUeBqo3U3zQTpXuk9K7wlHvneUwBXwIahDxrU8fOkZh+lma/Jfy8Isijibmgmz8n6u4
89fh/7wQuvN9FffHH/3p7BO/MT00kLJYzNGIE6Eg+0Pp6Xi/ORIpCTepXIJrJSrMP/UsgB5w9tm6
Lh0kLdKh+PpTz6KjZ/FMNJ6mTjG3VHj/QM/y4yzVhsy9GAsBcGLw8xZFwI/DNNHLutf1sDyQbEH+
dVqE9pWJqP08Z4O7/u7U/Hq++Xks8J76IuuxqESXYeR3/LpewfGrXVEcHN7157lnap10pvc4cQYu
6nr+1fD2p+HmcjwM64bhgEU0lj3mj8drNAbrlatzvJw0jRXjALyFyTijLRkt8wALUlJI4eC5H2Rs
3P/9j/0JObkcHACkhIzJ1UPP+9OPxXDMlISA9MPctO0HCtllZA+3/GIS83g7Mq4DX6T/6if/PBtd
jsrZAg7CyuI6y23z/SluVZs0g+v8P/bOZDluY9uiXwQH+mZaQLXsG0mUJgjKEtH3QCKBr38LJcmX
KvKSV2/sgRVhWySqgMxE5jl7r81baVEmHbt/5H3SjvKSlv4V5bd3GuQvLrjgLVQux+hVoYGdNJDB
kcla71pvFyshbeHjKSGmHVe4hoJxX9jvSDxOiaomE4h2tQsSHgQai/9J1YF6lTpH4ZJwWMmG/Tt6
VP1qnpda/Q8xC5h9DTZ5adKezbRbzo/lR0h5zogcHv7qEoHm3PaTzprfCmsguq2OO9zjnnyYdPed
UYAcgTv+H00KE8yxNI2yN0OQ5r5+KnIqC8+NUt5tOwTXkXmvFOh4z7ooV5tNVHFoJKlUGw+kv005
7eDeAoMCpP1WAZq+w7dp24eEkvS+mGroWUZHVyG2sabgu8dLdGwS4vykXCFUnfb2kSlW6EuHg3cC
HfgBAxweqZYuyzjpMx1PS9ImaR1OV4Oj4jonZ+pW620spOAQ89UMxNX66gqjngK7naWAXNbQRwEF
h+iMVcIOiBfOvF2qCuVTSsGbHOZWbxlyYdoQK+h00FarFfwETfu+7H8o52hJksqL3vSEeSPLaTwv
1ZgGvG2l40osegg2cCwE6FuZp1J0NEzGXl577EtdX4ZN/fmoFppb1djbIqOVIwUeK7cwBGeGrkLC
1MwsX5LgEOAPrfVIkpq8/dGRQT1dfzbiXt4qjaLdW0uTFEocaDdgIOhWJ09+xqICycpGdUX3aJGb
cWTgm9YZ9JWCLhNum5JGNccadk2Di1wtH7iP7iy4by3smsHjoYGK8j6OzUxLFXra7VEuwYHaMjZT
ldDC9SR8MyrjqFZ+jNU4ZXfvx0YyDhdJJrtvecruaWVaev1ZnwSNpG4U9J8U/JLxwUPyXOyzhiCd
Ho0cwI91jyLgUyzoh7s162nQZwMgr2Ja2uTsOM3HqnPrz3FU/2xee0t/nC4TLTFMt4wMDC6KbxJk
d9bCpM+hsdGtwrdKD1zYBLpjBkRmJCW0Qf8HvE0MC6GYqDjM0HGKFmCsl+86mh7ZoYso8nj/6aVb
RLG5JmE0DikTrhJ3flN66uXx75BWAVUBmQvrxhzvFL7rTez0IhgjDstDQ4i8Hy/Tw+4zvOF0zkK6
rh0HHZ+yHOG8jXS9W5C/WmuscB5Ay+xzDJ2XfWN3tbVyi0yXdxQR6fCuwkqGYgM6cVqFVBXoUOSJ
pu5HrXeEhHuhIJTowCMq20kd0jFoImUKb2tK/Th1iBirObMBtDzXZ2/6TO11/CZIvBP+mHZzcj1O
7GE/ddz+GLAcwvxOj0vYcWpW4U0UJGmpWYK4ELcUp6T72gjjtUwo7oW4HTaekfsNdfc99TtzQyqN
cWkR0OuDidiF3iTP+qiS93aB4yiu6TTaujKB2wOwSDNTe+jwkwV1PJGWDJf5SrHj/naMG/C1fSis
LyhyPJPx1Y2GH3mJPBNEFu9Mt4qK1aAu/US1mi9dkETfaBNrl1CQnAMIDvuyVktsxZxzp3MN0AkP
XGKmWM3E9m1pdvffvITIgIAQtygJGNzewQx7iS/cFCQ4w0UOPxolXfZAU8wP9P6owLbNY6mRSJjm
qmXumtFgydYAqJBCRZ2HwNcMhUesLdpI1mV5y2uOsayHZZzs6ALyll4QR2jm68+W1nsfiykmusiJ
3ALYiRA4NCg50cRgb/FDGNMtHH2RjY84H6KPKdaVs6LSs/uUBKRPaTszsY6O/FCl/5M4cEDc2lvK
VahGAl6j1b2N9xM7KCVKvgalAlyb1gEyqOp9mrta+1K0ijLvZwj57t4gqQIqglZ3kkKsxinPBtzw
dY6EZa9xXh3+k9rY4nDeQxO+d+K4+f8kN9be6Nxxms+cgAb83jIGRQT4BTX/eYRjqZdXctDlsEHl
9fE0y9Gc9IaEOfAJ1PmWLMfSUcyvBF7y92veWO0HK/Z0cLrumLSrBuJwtZndiuKQHuG2pyWVKefU
QAZuXYF5ee6t6GFy3GqXmKV75cSGGqTMKurCNVCaibiUz5VEgLCqe8s9N0B4+pkmeKwNbl1qSp3J
YmHmEVUCt5v2APrcSyKzeS2QgEdRPrehB+aph+fHYnnL7JlB0wyMlA7CYxBJZRlKAzyrIIqXxrvu
sZY2ts6annr8HkG44tbuY++8G3k0aMQ81sFiAHS1ctxpXCW1yX+IM2pvK2lE3rmdI+8IIh2RZd4K
nPVHcoGwoq7bLgi1c7I/FT8l9BqWLi+TwjccpHrHvr9tYdbeHqUC+KOTrRHO5uM8Qcvyj0ugEw/4
hxwiJBn6IxrZ634sEbgM9WiejzSWYXtasDSOyqDSwL6JBqDlza9DMHh0ct6PHUkNqMesZBEJNYtg
OCc5mB3DxLlm++NjaaVFPwBbJDsJuEK8vpyW1b7J23YnJoTkvWDvS+PXgzaRA5fUKROVMGZBHMkL
zY4QWKgc4T+PVJljXEiCT50UNd8VrBCXpEYzObcmCUgdbwubSnWBpzFqMrzoriocx4+kaR9QrqQN
p1Nrugs5zX+2Y42FdWqV9Hys26Vt+2p6p0lJCIim62h3eaVQfRpi5alvG8gjwwhCmM+86AwXLKou
R4aFm7e8yRuv1+5JreH1FLUSrG/rmMjYIpksdxQ/JVnQ1sRrfahdpCIFurPyLlyeaJoSLjwPxQJ3
7RhFigbXY9Xrs0oGqUXDivw/vCrqR7ylpmVyn9ha3hEHogx3wpa5XfsJuvbYvc0z14O2k9XkdyIR
jgArbKYsUSKNtEp2y9S8xh5pkcZ2I1craj6k5uLszIsk6EeIqSM0ty1pbOxBHD1WD7DY4kvkilhs
lXha808TSNPyDnk61xc8/ua2cllZMhErD1LxkoNCSCUm7ZhXz+QWuwitJ7V+uFj5MFp8j8YOoLQB
ZXC8M5MGit8UdH5clnSjjQbqeBHg7lnDtCtls69Ej9esz7XbkkDzasU2pF2lgoKolrEj6e0ie1IS
04JUVoU7b64KijxgKAJm4OizKjyVbfOk5NOVJ81xj+KNjcHQqFceNvQrq5hEIKj8291U7CR1vTV7
4/COLtm0SXmJUnWJyQA0zSugBuaFxK99w9PmvVzK/MCbr9iaRYYrVzF63y3sdeTlF5j/ae9xq67U
qY4+1Io9fG4r3bisRLFwtSOVDaRstrmXl0hzro1Cu2XnR7qTMqpPlh1a1JcIx6LwqHspkY4lIUyh
ix5wpk9i80BMclvARlvkNgcFHaSKjbYial/hDYwaln4lK0gMC2/F+4rVEEvbYmZW9rZB+f6iy3IG
aRGz2iR2y4icRcizD2UO4WzKRhQ4gm33O0fx5ZT026nE5VyCcIvCAvqSFxraWeipxxuv3tXWcdMv
CPVZ/Q8+ixenHxfHDoUKWjuqa3Jw+/08St55P6Ro53Y55c9kNZCXcN90C0/blBri1iWg8XBcDt8+
fb84+nNdhOELC9MwTU6Kv1+XI3lupHj/duDX7MdeKUAudBK88+gsrs0KZeetDamAlUIsu9y3r07d
5vTukp/BqZgJzoc4dZdMXUr1hJjVHXIQJGGEDev37rLqpkd6dh+hul0hTuRYsuy8sTWxuB8/wr8V
u3cqdlij3yzYBd/zx/Gx/f68YPfjZ37V66i8YSygtgb+FKX5UpT7Va+z/nLIiSBY2tPMH+7rX6oL
7y/czdThPfruyOm1/5TrDGiuFLsQZdjI7ReY6p+U6zTPOBlb6F8XZKypapiXcMedFLWyVMSpNnvN
bgKf84AHuKwDuzbwCktob750WvSodTNdQ76Yl6Bv4YOU9cCzqPUGGUUJiNCYtYcwGWD5lyUnCfjJ
43fZ20tQV5zSdENFkEf9dekq6OuG/IuptC5gVrgqZYTmaTLUaN1KjzxkbiKwo8Ky7lJ2L+eStuNl
nlrU3N1BnXdonaFshSQaHmyNFXyoYEspDvF//ZIOS3WgPZMN5EC7MOinSyvdjnw4fWW0dr13oF/t
K/Clt6UXmQd0G19Sp1EekrxQ7qOmtFcmkaTkKuhQRKIaMKHb1VfkDFJVkd2NcEH/KKiHSyIgEU7q
N6YOdsjzQCMD4lLgtJf9Vo2yJ6hji0jZIw20VOd+TXooEV9NX28aqne3sdBvbEOqwO/7C2ShxmrQ
9RvoN/dQGC7I8CtXCEbvOPhr53KEEJpnJfJ3mJD8UZxXU3FuuvVDCDnEn7VewkCMviDO3C9NutWi
LIDI86WxFhVJVd3JVJk/I/9Ug9qI0ZS79bBB18VbP6Fh6nj30gjXMFfYAiOw5iM0yB/51V4jja0z
O+qVkSnKBmsx8L/Oyz9W02CilzfKrVGCzOClamwwqklUCz3wc7hj3Vxfk+o0k0+mHHpzah4rk6YP
VENBmh+Ydd+oczDZOpJbiGWhO0Nct/rmimy19sHM3Hu7S6ptJTmgaQQlnNshaZqz42k7r7GBbOXu
h3yulYZ+//iBaNjoYBYoghCoLbhZLxz+VtSmLX2nUY0b3FXGZQHKg9h2PZYu7ZFmXudxeWcomlwb
LX5u9hTGbZf3eIRdTmuGEcM8Z+as0kQkID+Ag4tCsk1sG4OeX1Rr2ipKJrLxKLtTMRCEYOuaHM4i
+tHDZmwV6wNy1uTMLGz1i8kXDzoguX4BTCoJLO5ltdFcUkLQCk3q2QjNpt9XNK2BCKT99KSU1qxs
cQtV4dPkOeNFriOjhtZjZohzEwMYQh7R2U61u38X+v8FvUj8OpuJ/96ZISqmah+/Vc8X+h8/83Oh
19QFkohGhM4emUX6Elr0C8Gx0DloHlBLx4HHss724ldjRqMxo9N9sbV/XgK/9HX2XwTzUHazEeVh
91S9P1npj77IZ1u0pUviOphwHfiOqN9OGwgqDVw1VAjIwE3fpB46Bc+dhoeWemnZHlK1cOh7Z7Qf
4nSLYgV+77lBBMG4jgoEB06/sqrJrJloJM5mxkWp6AbENYhwIA9SziPYjZCvZmkvw23mJlaSnFvR
KOh8z/zXECxcM3OtD6qFampm4z8Ug4zPNVGQGbrYhBxlFSMr8RVBO7I4GI7JdgowZJ6g40bcon7W
yzbs/cru23q6S1keNWPtmtHo3NA1HmLvKkl6GA8eHPwVRgel8PFxUELOh3ZWJpDNkGz9yKIO+O/2
6H8LAKRNo785bT4g+Xo+ZX7+wD9zZpkY5PTh2/7JFf1nzoCtYTdCapzG/gm4FUeBX3NmCf/TUJIs
vc9fk2VB2aiLfBRrMP0x/Y+6mMeuz2+TBYs/GWvsygxafS9s+RUn+ria3OnCI2kaIbg71tO0ORrF
ioJeXyYXz6aIovqss0zQjwQBb2VC12Na7IstiWkLoUkSjD7QvEo0eYtn2bomK7dTjdXCB2YWrYxR
HcS8KwrbDMdbxZlkSQnBE/Q7P8Sh9IoaDT2oZ6xAy0RS81C58gpTFIcKCE7n+TpBUe6TUTtTMuxG
OogS45QzaGx0EPorKTV+txF3teAm3yll5ejr2ox1MsdTgmLPuJemceVm+JxULsv7pQbyHBV61KzQ
JU79LZGzhT8wBy+xbsbbxtFnAz+WHd6XxCHfzz3eDr4U3OJ5UL6OcZHcu6nZAjwp4vRGVha90bbZ
z6CqNnEVDo/0cwmV6AoIW0nW0rNRUyCalYAYSD9jBohFqBCRoaDZ52yU+nocVdGc6c5clJqf4ta8
jKNMKHs5ViN45UyJpjtl0oaZ7KQoSwEegjLVna2eLJgtEapV3+yoPOAtYFXIRJPJWzvHrHBRy64q
eQqFdUQD/fse/Z/eo0jB336PluX3v/vk76F/vi44xx/7dWbSOBgB5aWaYGBkZTb/8yp1jL8cXqDM
9J8CiGcaB5YF+qM6kJ9fevRfq4Op/sXhhpMWHeUjBevPwiyOTdZnywNNWERAOt1XeAe0q/WTQxPx
Wqjpq0TsqpKKlh7D9IznEqxr3z9MdvaVOiXQm4qtP3GQng88GyKfnDKSdjKgor177woXeGLeZxdy
yM+FS1XJUWyUt7STsIHS9kwJsWOjDf0GiSVAqwIw33IoiWkKbmpK0T7VQM8npPKm5uUYgI/CzWi6
2VprHNpQGtdEFyTA0JVcEwldkGbdg8g9NG4J1ba60peO6VdbqdUgL/jrmYbkC7pVu69F+6BRRfBn
SLWrdLaUdRE6H6lh3aaG9lVAw+Rn64e8Iv816sHsV3hiHFu/0WJQWnrJ97Fr2a/VtnmwtdRb9UvI
wXjslkVEI8uC84hQnH3bunvOTT1ZZtwaQbZa1BcGjaHsSc8UubJtbmXltl2gNvzSXHALTEIA+Arc
BtXdF0nXBUSSQfJR+QyiNpGzhjoV51ivdqxF9abK0YjZgC19kZk3ozv06+UnUwpveAVp+syUqFfR
xC2oc4PzWq/NN1GV33hTTlZfxyWJNrPOLJOzGjmw+npo+EBGbWcB6oEPWUflOHQWBWxVPk1lQ56T
0eq+FU6oJLMJYJKXR3+HuaJxH7x7T0UufTw7dWqKgZvM6w12Gw4mqkCZD+LgPnTDjDQOBN+1ks+b
GuPibnQZHAYJRcFoOXtXU+6PgwRTD1Jqs+mC2mEckCx2UwiX+GvVux8R+4PY5Y9CtW4EDi0/SoEg
07ZkB5gOXUDrTh4cr9fhMy2jqOfvQoW7TDoNyFHV6WtnOcTbIQzNWWdgAVCrfU7ol4znJ+mRCK8D
klvlY/IVZRDPfubfsGzJldCUMhh7twPVVvEzBXep09B9I6OZL9SG91fbtQ/H511EtCpEzrCiVI1B
K2bIOB4n+arhxTfYbn5QteiJSc6oZn9IQBejE2UKL9NlLkRNP33IY/7VdtOvhsYHYeahF62z5HLg
dsEdu4clwf4QCO3KccbwMMK7v4hRXfue0z04dER8GzYDE47BhDDh8ngz6E7SmlX4q3VWfC3IUlmH
qtMccr2z1hTYaz/PuvAwoZe/Lbq09nXgdKuRIBrf6GuAmYWur9usUoOiNbmlquAzRHF35naK3OIi
0c6NJkx8AM/6OnOYlKjhz5MxpTY8VIwyIJ4E1JXZBcdlNTBUFgLqKoT0TVG+VpknJIMkNyK2Lo/T
y0jneadqg05pG2bcAKVtVVE0XakFj9sElHqgfFxuJTLNtdCWaZiR43p8tkrB11fC8txGU8ASwhAo
68YjLpJ7cxzls5OBRwCMsUUZna2JuPM2wNzyYFQoBRwHwDLCmeI3iTlTIZhYxjzB/DZnj53O8pj7
AVdf3zKMsM/0awEo/LFOLGVnxXzVGU2DXw6aQr/aYPWykq/0n3gEWvaExN9A/c/swYvIYRqjvq+X
WnhQ26E8Jz5RXlrS2rpj+lXhdE5piCJSmOnLmZkZwR5B2UUW8xTgtXY+kQ+4cWwGWVkY5TnwZK5e
snw5aYHXisWB/L9VIk2cjnmHaFTyy7RR+GZn2L7Tq0ZAdGW3ahAs7UebMpFTUlmXSaESTIMZVskj
FsVIY3EbeXSKk3nbcNBvYsNzt7NWTtu6ZzGpTSF8gm1qKJx8hHHQmEVOXe04w/AHpecfa5PusR06
TlrSJwV2CapWWh9f45hVg9Yyb/RpSfsJFXdlYUHgtTMymBpZbzoksX5W5WoQNyplNduUl4OTPXGw
49bgNiffjVtsAwwPaL3E14PGczVLoHsIL7pAcS2WwEVD7uRKeK2jWA7sinakGzZPjcN/puu5Pvo0
o4T1xISvDvC1/dtVFWtdKqDvqsb5CMW7WmdKjBpnuMQCn7IBdqPDlMhFU5TjbSThZFLXejbCky8l
zZWAftyXzMoLsUIWZ9prz9Ugpc5zm37VqcgHaNc9EnJU/d6Ksjzo2KmnF1PUDYdkVHmEhkqI5iqM
MOyuUxXeW4y64DqOTKjfK/S1uI3gk8BSnLJeXdMebrs1joBa8+2mUYAsDI9KX1XfgE/8bSZqNawi
Q2ZPbmMoM91BZZ4xZXpy3PVlW22I35NeDZO2gY2Q0uErUrzB9Gt0ulaaG154YzXTLjPKsbvM8EQ7
cO7Mrtj109wrDxOcCz8muik/D2PP6Fdtm2u230xZk1xaCGimdUTCh3JbDmwfYse+f7YVu/6xg3me
L/6izQHozEYHYdsOCAXPOJH75Z6izyaJUjsnmRBaz/ETJmpKtaV7P7SVwbBi1pkIyIK3r7u0bU72
U6STYEZBY6A6hnqynwJuq2PkrYedNh4XO+agkWTfypEYAVlnT29f7YVGdfmWDo5H3dQ80KQnV4ND
oZgwOoddPjFAlp2Al+H1ivAW/fhe/3ZN3umaUPoxuOv/vZp2+V08fnt8fgD4+SO/CgPL6Z9Om+GB
FTsWxv45AZAh91slgPHisLE0kUUCivhPQYC+CzU3ODYA/HQk0/afVM8oyf0+RKlPOMtl0P3SRdCd
U2Fq3JtSlG1tXDgLsHQaTQtFiaa05FWwrBLS09A8ryv6EtjOMbU3Ys3WkERIti5bVJMNMpOFkWrF
c3ZZOTkI0UYK7AB63UgrGBa6Ko1hOKsLcZXQqnkVHzGsVANAstYLnVUeQa3DwmzFZVp9LheO69wC
DMWPteBdsyPqFZbouEkW/qvTppzej1BYZ+HD2h4fcVXHqaQOFlUm0SQTdBdzmhwba5I7RjuU1vMQ
yCxVv6ZD3k2rfMqyb42jNFdwCQQ52kRZX4VhhSaMyj/fvagB96CDTjJnX00tdsZZG2S9JTGW/2t0
Vq0fBjearpvYaqZ9RGk7DeCjSuXg8gFB+IRkbLDRKxAL6G5d3XjIZm45AYirZiFspohTAkoLLmCJ
BcBL6cLZFTTYGz81qzna4WaS160LqiVQzFb2Nald+gc2X4Sp1wHg/KUEEGoW2qIi1CPD2boWHJ+N
0yYqZQPEiC1w+GypLRg/6gz9RIXB7LQKSx8pqzQDwNUTfUXEigtdV37q6pxdAMlW+P9b6sEUQK2E
IJXLrBFLQDRCptbjCBi1BWqTJUV6+BEpTcoU+dKhNikb8SN22urYBCzKI8gb52jaBXqjBh1/tVO7
EYap3sZ5GHD4EcvAcebdLFNr3pBeM2arjJpULg59fwzN1n5maLdgfMe5WGWjDn7hIfoRuE30xBK/
3Y9NTxi39SOa+ziL/13w3lnwFuc6L8v/vuBt6B4kv694P3/m54rnqix4OuVLFrxj+NJ/2geu8xdV
EBuFugYP9OjQ+FUKNWgfAJykWskHUHVebP8sgLr5FwQmm4I9Y4UqrfdnFdHflz8kDzQNDJihFssf
+ouTnUE0SnVmag7w9AdcQfg7EfAiFvbOTZTWbJmttjwnDCxBshm/Ky85eWNbS6WFMhD3h5ovi/Cy
b3nm9GiaaPbELPvtOOhi7UyIcbREzzEQJ8Xu2WN5ZQv06qXAldPENpd4qpNLtQakJq2w+i0Ny2Sb
69rIkRszJ5j05p1dz2uX4lZ6Bp6cpWi17IqefatZQyw9mSaGPSmpHhtzE+DtyPxeOsP+7W/Fe/D5
But4A7HkAHsH62oAfP/9UlL0Q5Zb3EAvCb2VmPQbTPn2kxR2EJUhLPWK/vUSSkc4A6Efb1+cMfjK
xTn7LaMYJsXJ9+yR0YZG3fdbpTJtcAMyXpea2fwRg9TiK1o645IuFz0JGFsnV+lIEuxEEw74A00C
sUwdufDKko0j1iQhIC98+0udKJGOl8NypOLO0hkmpz4MiOg6WKt+2FI26tF4tt8dQ39CelTQmS3O
CD352WP6rzjHl7eROrRO+5Cqo6m9UGqEMec5iC/DYm0GRk0iNw/Lq9Zvf6/lNj3bih+/l07Pw0Pv
xPFv2cY9H5R4AzV4YNmwNRIxoXRTztkXX03Qg3BDoIx++2qv3cXnVzt5aPitoiay8mHrilFDWJ+s
IoH0r06zmrqOxwEoy76+fUmdhfTFN6QZalv44DwG5MlSNsWZ7Y4j006LbbR/lZl/jNQB9QSZTbiA
ImQlza0jJpcYMFo7dq+6h9oydkPUVltBm2Q9SEjf7ejUf0tpKPsJY9FKD/vmbiabKXdiYHhZM7+z
MB3JzCdPxqANRlkckLX+YsS5HbWiqmca4e4w4aMtoY1UlS2xVhQDMUmn0XVxqzEgZqde67igv6iz
g/tCc+tLmI5I9uvIuyJEIXpnLlivDE0ETkQSM8MxAJ4ybFMvxwpl5f1WEh2qh7EVJG0s/ca1+3XX
RN0HmRipr442RMAKx+9Blml7Dg1UZEhrEIUIlJAoK1MwV6W6MrQ6DMLSpQagR9NZNOjtpW7Pyp6O
ENA4qknB6FgoTyg1fRwQfn/shRv6nkGKTWsqzoZArGQljNYF/ScPPaw+Ss/54Peh5QEwsc5iM/sw
jC5ncHOC12jMKHoRJFHF6q8qjz1Wk5CZMJmUXiTyyXM1ntRPStuw+Syhv4TW9JRNxm3v9hnYsgiz
N3rRK35zuXl7tL6cIDg52Rgw63kHvzDgyY5ylTUuD72LL2FrxX7iqnstkffDHNbrYSi0P56SXNFi
scbB6Szrze8LgNdK2o9z1m/bMNxrnbkmuOBvrzTPW6NEpe/ZD29/w5dvQbJBWG3QPywWvNNeShd5
Akrs0G/TKa9XukDJC4CQxr7eTu+8cF8OUxfskA3SyjuyXpf//+yFGw1IokZR8RZ0hXVWKY22r8bB
eecGvnoVtJpsUwx8sKeeyQKVRUHuGa87u1VxOjiesiMWwb1++75pL9cxvg1qWLyLjkZT7ORBofye
NbtGPyeRvgawJ9INHOMosLuSBCFOqWwpGPicn6ND635q9WhbmVny3rJ0cjDmhbG4hmnfu5oF+sQ8
qaY0TWXOiXC6rQnZhuq6l2/CMe035tgnLhXh2dzjjffWrVp9P4YoZX06biNLFRfFPBPBm1XhO0/g
9LD+4zNB7UfSSHD9CxdpZCqKEmJT2pbRUO7V1lp7KszDGazOZQinxY+dof6cQzX080aZroB1Tr5N
ERFjWUlKaJl/zzUpLjOXyM95/AKsQveJcKvvpnIgB65PiNWM4vFQTvkl7Jv3NhevfwEP/YrBlp75
vzz7ZyM11FqvmMhU3prxdBu1Tr0ZRjP6ELOK+XXjpEGIb9UvHLvnjdUWhymeH93Eue9a29sPdRj6
ktSZNTg/76aaneoeuOn3mcSXg+FS9B7raKIxlSq8K/p8Q/pX/c4rQVse++9vK4bFs29wMjrHPucD
VxPqTiWNDtiTy0NvYejCLBX0ScsiP6AeSlN1b1S0SroautDbE8R4dWRS3lvKQLqGd/r3m+hOrCWT
NXTbVIn7msaVa31lW3XtmB2aIE/9VuVCfkLRHv/dtX4/iAiwnr5Qd2N6UVG30VW4kS00UFIQtZE0
V32o/ZgLblGWgodMI+37VGoaS6UDQgg6q5oS0q14nzDetTtNWOq5Ymn5kmD4SG/uzp64UGQeY4q8
znrnnr/curnIw4lXYodgq5yWfv++yIWdLKR5uG3S/FMZbh2R5oEy40Cj3WG8s098ZdlGnYOQjH09
v1g9OVF0eWZT8Na6bR2VT17ihry1aZuZ8k9t98tk5kro5jDuUpc+3dg3YTTUDmGQ26mN7jPNiHAJ
z4vCa+I0YU0Z5CzVVtxDaGvxO0Polbfvgqe3affzYmLj/fsd7SOYdGGqLljG6XPYu9fSaW5x1TzB
R/3KkdcO3h6yx73nyawhqAvNnwagH+/9ySP0hNLJJGHIcgwvKfKx75nA2E4lsmtDzN/VsLjHMieD
aKrZ3Jg0tUQXtQDY5ne++quDCc0ibxaUdi8kDsnQCysWzF98i32g1g7q6Bhrj5JU4GDj9Ontb/7K
SxM0IVoPosbgHJyeEW0vJcl+kDzkqaUrWpMqPA9u/M4Z8dX7q1HJYCRxe4l2+P2Bpp0WVZpZd1vO
yK3vChkDnEs92tug4sbOYHYKc6Aq2iBPDskNphqQr6VQzuYZJ9bb3/nlodylqsxumUq3Qwft5GGP
02ABf8n4MILWUxwR+du18wVBk5EfFZri111RbrEx66sKEuc7E1h7bQazG+Jms2938YD/fi96ch10
A0PzdtLM+GvtIFmmbR31Vzh3Leq8dmXbfjXwC1bKtFgfYXvkVoDYM9NXJLrFGW3xabwQsUGHTacE
qf3IQX77Lr3yMenqkwTE1Gefc2p+iRU3mazSbraQl9vNYM5ibXaNt2Yvn7xzS165FKoj0yE0gTIc
vPbf70iSal3dtE6z7eeweDKNiczqMi4IPbXV7tsff60FcIHCcCmpvVjV6sX0XLtms4US2d6ggrQ3
1eSEZ2nbP759pVcWMa5EWYQtokNR62TM6zPoJUJMmm2CzyIIMXjcESGnQ37t5pUqC+C20CLeWT5e
vZWcr03abBqewWV5ebaBiSK17D3q/dsJohlyEYkbNi3Akat6986l0Ffzy05WTXYaJAw5yBnRdpyM
ZDczqyGaNYaI2cLBsKGhtSTwmSMJqUVY5r7dQkK32ZNjjjfEqGw4OQ5yPUvHKIAkWkyuBJK9tw+7
Kf+og5+MAyzW7hDUOWHjmN+b+BFqmHKRke3RIU/J6Vh3cJlxg/CVDKRPFbn0BBSM2gYnujGdUej3
tslE9t66wmiZrqIs1u7tQcdfmpvS0jepVkh7DcQy1h+8EX7+dzulWEKzhxNMfCbj1giDFpVk/KHL
K23a5yXVtW2caIW5VtRaOxSzlMq2GzLRXVoFTeELsx+m8MbutLzc8O/KuCnGFuP6ajA92iNlJszo
wnXKBQFmGVUKPp0IaKGgNDq0pVLtMJqX4WqKWr0FypB8hDNjmCs5mFW6h7cVIboZqipbnKdLqkBN
R+E8FRwnEYR5cH+3XTd6WSCFNckAWWcInV/pQpW6Q1HrQV1Yy+YqASf76MBtRJWNz9+fXdrOd7WF
8XZb9R0xFwQ1iLsyMdt+DRzBc27VigbQeiA3b9iziZWbxpVegkghsusVwvQZLn6XetsSbVq1zgkh
7pFs6B4E085yP5ABTmJzXlSG35mwI+Eu1hYKi+GGOu9mEFb9Kaz1/CEnx/u2L+2RUA846goBH2uj
8a6GfNqUTbeRCIZuQ4ciqhlHawAwyVY3szHIiFPeRIM4GGIaaep1j2kGN9oadELxUmlsCsP4ZhrK
SGbuhGTAhNNvw29ce2Zib03crUioiN9O8SaddUC8vjo9QARzmJCnOOJxbmxrJwwJ2RzQGBbtj6pq
r+GCNNeWV7RrTS2Ta9Tysw/VTjtzizy+MEaeB6eFZNUBG5GzYW0tRbtJEuyBQEHRCHtm5ss0G9hU
4J7JeUsEXefMN1ku901P/DEZ6xZ/ZKS9A0kZzfaA9FkPoFE0a9m32NTjkBQCIifORoNwdZ7sdeia
t4USy7U2uvEGqQYsRUwx5ATgP57Zut6GUV5/QWmjnpexg3itxzgs1b59shViZpVe1AHdPNzuVWXt
ybDFT1+Gck/ou77vYALgFhMH7DYbDOsaeY3TQ6EOzQNIlR2K5rtkmB4sGZYkNngU6obwobCVqGUG
Fu5eDA74OKUJA1SN9xgewkMXGklgR5WLnMpUeA7/x96ZLEeOnNn6XXoPGeZh0ZtAzGQwOGRy2sAy
SSbmweGAO4Cn7w9Zpb6S7u2+0l5mspJMlRwyIuDDf875jqAGvYiWbca94THvDXUv0j58lCPASe3I
22FOAjCDKxLTaL6kACkCrTs/5rKuj00dql+uHMbNnOuFCVdJtfMyx2MrmsXham6bfZrs2jwavpVt
mC0bmw/PC5QdZ9oGgnsEmymLRJGOmjoI5GKh+ZQVM761sLRO5pgS1m6HltDVEt7wP9rdxAOxS6jA
m+Ut5IFUy7c56wMpNnASXF1uF2n3b/Q+7WmbQYw0bH7nQ2DY7cdEL0J3dMqKIvs67OmwnlsroFnE
8DHolEEI8YTGdY8aoTY36bppRX7se14pUKlNtV3CWn3LmOrf2xWdPkndlPlJF/R/elEu7ixNjTlW
WZD8cE+nc5ZL86e/FpjAxQBaGSxmddOxyX4MtJb7uJFSypC1lzuk/6T/5Koy+RUx3B+Be8IT2fw2
uy5zOH1HZ6p/9V2Pd3OupfXeTEG/5YrmXSO6ad7yCCq8zOR8GDixfAvhkr4pyfeZEXCh9dvivNBw
H+cTbCfbdeQLU7g1xidpAKJknU8CRi3xmqWh+BCdW+7LyRCvgbDzY0EQpTqBeS73OV0bL2RK6NIM
QFNviXjXw3ZcJA9HZRteXJrY/lLf9+KCA9dpFJisAkbIBO6HqN+X3JtqPPTAhTZDnqpnkeh02SEn
W+EmSldDTGu6mPBqpEEovVm1fgYNfYZinD0R66HhJehHe08LeGc8Yyfirxh0ZZTdpPbCr+qX6llB
7dCXNEnSK6UF+N9MHJgtltNbNyPO0DldfnDN3H9Sg+0tG04i4ux3WXYttOzeGd3hw4fjdE17HtVd
09aI/ONU7nU7ufUB50R6rapOBXHnwQbmIRI8VLy7DOHFuSRABL8j6372Ku0f3KWn/i/n9c6LEsTv
jA8uzHhR6c+bbww+mg+d13c/gdI0fdz4S6fg89CBzSubH70J0KpvAJqwelecO7zFt4uS3c9h7vpX
Rds2OcFAfLRWSiJ0GTNeVtHUyRm/w0y2c5CfkZbe1V2EASyqjdLrRFgJ7JCPJ+FzAdeAYbKzteNC
L0J/B1jDtoyNALhHbOC+JhrRZDBcwnFMMP+1pvWto7vkmgP7/975WXrne2NLfQtGXUjYS0YbwpJY
GwWL99MbMfylQyjOc28m29QY1c2KezxS7Dx9D42CdTFN8uNvb3FnGul1JPGIFyT0OIE3mF2uMGOr
U1/SObUZIoY4W3p0k3NWD/wBDIQhTF2NYaJYOsxqC885Y6xGvhA/mX+FgaIuL3W9OEnm6mT1w/op
H6kwRXOxvae8ztSz2w5jEOuWX7LyzPIxHPruh1Nk/pMRLTCWu0Zn19knj7GRZMdeK0GhF/1l47PZ
TeVjvr7dNrTbWw9n56NwFT+oNGATBQFUAA4Z2dWVvGqwJeZ7EzjSL3NpcxjDrteQ1A2TRxvb3EmY
GUZUR/Md26V85Mg+fY9MFJlFK2KlwHtktjPqbP4VdIz54mSkQHbDvEX2G+gAuol9o8V07hYLpX25
4SePbsaVa9ONEh9KrZSf8Xfnk7QYomfp9V0+aaxZ2bUqi9aKa2tp7w2nYIhLPIX32pRhpk6+04ZN
DPz8V0ugGRSvWReALjQoirawnt10ZV1hu/jCuT5CXrIn8cBqsfxq7aLrY99u5hKTtzd+2eFIT0Wi
yDwbXcfL4rOTy4OpS6vfYIsC5W5XxmM0mKxmga++pi4UD0PSMPgXdnc3qBmWFiDiB2sI02viU7s4
RCuOTIbOiXUMDs4c8nw3lBO/CPK+5kNvhJI1vi1XEvfc8uKBRbpwJ072HQAZFjHcT8xNB2dEEHbC
90WGA+GfLj2oqgL25Ne8NWybtw52Ztp3gzS/913Z7TtM/9/7TiWb1TgIZ4r/S3Zdt01U5/z0otTb
ux2MpM4FT287E+Fj5fgHi9drg6Lpbsuh5zkcnHp+tGrwghxC9GZtrH62q5QOIqN9Itt3AQG8ktnM
nLtM32/1GBV3gvmPOWbqXNRdz48t/aupawqvgpp1w1mQ183cuExkHa7N7CVPPri7UzTlI2SrvF6A
ASM2CmL3Jzo6zmqeKyAwo7qYqe5vQdI3mKabecNRnyMgyC4oZemPiNbhUxk0a3+Xcj4VnckiNy2W
tJB/OFLsGpxB8TTQczgV7gvnbXMzm1P7M9KrztQO+4zJ8kkkbYBalnEgVUU7v4STTh/NJtP7AOSE
T4vfNtIAaTc5yYJQLz+Y/9VvZU04mz2HF8mGJsVCzw2HLiEavWK4cvJUGqazUYlhXsvaxQQ8jghf
1thtOaHqe5Ii5oEqVvk0CopdHB2lj6Pkh9BAFNyPJil0BtOw3ClZ/hHlkf/sy6E65nnwPJEWPTAu
pZAJdy2TuDUI3YKpueQhg5vWsk8JsfufUEr0HsSfeYBrvVDvNzpbrXgYJd2EG10yKkzn2b/hcOG+
FK53aLyp3fM4sQC3wNA2qU/iOqKI+ZcqR/tlgsN1F9XRgmuhdr91wLSh+UXu3mPtuqkTWT1bXhA8
zIp3yVNyEvuAcyHIoz7dUSTQfS1ITXbcpUN+Jwo+BhCnU2BqU0MLQ9cBUXPrQsYT1t0YAWETLeTg
x8DnQO+mxQ9ayjHP6+Y4gJovNp5rEManzGAx7ZchN+o9j+I+pzNgLbYHA0Qk5K52veR7VbYcM1wF
CjgwSQaFQ/4Ymv2yLWsnvJEzQfzEzHaZV+HocnrvWndeC6FNRxaiRbWc5rlVF5+Oo4YzGl0PZI0b
qM9Tca0Kh34XASGE565vuJZWxkrRQ0NTF5qvitcaYuzBsxjAM1pr2bGWjpHGmBsAERNH3M4Ms9co
haJ0a+ypPoioHHj0AggJgNSPiaJ2LpTlhRwuZYCNDlj1W+gzCDyEYeRAhLeYN74sjhaQIBq4COg4
xo++bca4Bk4eiw63ehE0GXEMNVivEzjBU2sHP63F/0r6VrxzYq3eK1nTHiahPwOqMvaOGtPdEIz1
w+xzYqkoIET0joaVupTgla/N6ajsWkElclrtblVgyuAYlBa4h8b126uhVxRWMwftlfENhnI7LABJ
jhUdcnxGveK9rovmwRYh7WA5c+RNPrOAFpkePitpm4DFi+xTJOZCpoMe2KvABXD2cCw+4VcO9WvP
iYf3LeeSUwPRZJeg1+NUdRC7FoyWb+yWzM4WWrxGhv78K8qAQGM1JTfTss7cc7oiGuuyHT7lKBki
yHmsf5WAFLONXIbk3ZSF9ZPuKHb61p3hc4kpeQebzyXcTXIjiilLlJ+G12GftBcVgUgoveapEuQo
NzIjIbkP0kG1ezfSTDSIW/PxyOxxTYQ0VfuU+WPpccZsk3fP8viaqJtAfwVFVHpbtzH5GDXOPJRb
JfktdwVQknDb4NIKuMRM/NACCJO8yRdv4N5oNsrKYt1pop4cXvnOixFO7cnVjB+3mRvNxsGY1yPA
gEIKDHCqo9siM11AST3dH3GV+LxLxsJWF9MflLyrXmVkUkeqaHHwe/Uvexz5qaNwQFNqzMPvf7yY
njLSceMgTxLgkCbOtAAobgsjy28PTuSlsSN8WcbMgnjpHcttnjz8Y82hygvGPTgLci6Y5VQeO4sp
0NUWQE33g7d4N3M/tE+exlHBW4jeGutE8PcrA495SN+ZZXEjcTGoQ02ANbuQdFG/lM9sdDPaXpdd
fMPKvpWzsqlQaZqX2oqChzKIBLkuUMLfyNXI+Tgxhk+u7shf+mgrk9+RUzm/dd4kvHk+qWAD/a+l
+In3hGeX2X8GTZVuQGhcBpBeFglbfubcXvINv+zaIaPkV17IojpEY0+V4xhBnjhAjrSnuALRxXmX
t3M5Nsz/zjqXBt0p7cCJzsvcrjiZfs8QpUdbITgkcuoReaa4cLMJs3/FcKmSctOQTKxje5koRMuU
Y8ZiPUJWlHoMhEXs7LtVmPaO6k/zjCbdH3U9Ek1Lw4lwQ5k/L0umv2ubxMPveee/Paj/Hw8qTrRV
QvifPagrXPzyNeUffwex+PPL/mq8N2l1gjTFTBp8A/4rBrd/R7FwEMRI10f4Q/hXf+UVrel7tOpo
1VnR3dcZs2zHIfvP/8ChChjR8pnLRjzbK7j6X8GLr8Pqvxn1MuPlxwMydz0m4hHj87+fK4vCrchv
NMVtb1NZ8AP3FgGshr5Gd2dmkdFEHGR6XczH3GllbbDNcKrq48gLmmPLvnagNWH+7B3oEzEjVI/p
16yWm6nxgy/RV/AvMdP2izg2A/c36IhlpWei88wEQs6KarQZ7X3yGedaac5pGHjMAJcC9gTnyyF4
oO1TQaWAW7gyKpzfwApfo++8VX+QLBbXYDvosxam8jlfeRfTSr6w/8RgEDMtJyoqVSO68Ckj9t5q
nFMQaYl+1e6wQMhrulp+44TvWzuy9k5lvuQCfxe1Hp0KbToOTcK1N7mVl+NuMcVHZsh+H4huvvfs
qgniZdYFX+rPxvLeNYRmL/9+AP+Z6DtKx2o2/J8fwJv/u6Htjy/58+GLsGyH3IIhYqx2Lzrh/+bh
+51uZ/AfrvZPjJn//fCtz8BfH7YVGYMRb7Wl+qHFtvGvPGyWu6o0f/e0ravAKqmsZknb9//xaUPy
rop08m9quwutGKHcYsBl6VmDqZBGB+4JIESCtYaDbJvctc1seXHvmcSLt8uAnxzKpjCN+iyREfpp
ZyxT79IFk4xspaNDB/MmEJCc7soMR1Wwr3tVu/puYKPKJmaXgXZJWzKJTPeDJKN+q1whP8qUejE3
D5LYso0gplw52FeUHMx7zIbbzl4gQoQL9KyFpg5sghEpVzqEIrtYDrbVr2PnyaqYx0mzh+8ICIxK
UxGO4r6AEPPU00T/JqvFyeJeClTNnnR5d8M0KmNsO0evhuO7LT9i9pfdFFWUTXec65ldzA315m0e
XktoYm+ClPHWiFr9niu3uOeUFOzbcSat2GdsqAWTgWHTOiiclMMa3aFc6upE6CZ796UnXm3p2O3G
Yk780UbhRzWtZcc0qIIgrucT/0guavQd5k65eUQbs3ZDsRZ6OWa9mh8j8TAW3CFjc56x3GigGsgk
QUTSBssQG3SC/0Zbnjo2xlLjEh0lsOOaJrR+1odlCeaHSNrz2YgKwZGDg4OxSRIjP2ZVkX/yefAe
SOgoZ6da27hmdRPiivH7o2wn61YjM37LliA/sGzSZb+4QawmMLqxGw72xfWU/WK0IHo3vrCda+um
4xb2bYulKQhOKreWG9CzADzzkdymZTcj01IFc95IoCHDdDvSQje1NKiI5d2Y624fUot+oLpnOcE3
oaSvtoNTRtr8iTa85G40RHvbckqE6QkKCIzx4uPz30/KHWyfkOGf/z2UnEeyi+HZHS4xesMCoEgC
bNGKSOoojW3OXDN1hUfsD4qS3RuPoWHRVrVRuqLHhm0oscyPf6+o/9SKanMW+d9W1MNX26c5gvgf
HZqnz//8D/KB69f8n1jNyjaM8E2vZw/4XP+9pIbeX2j2Q20h1/c7gsG/+ut5Bjn7r0uq+Rc8nLRR
UIwJOpfWyn/h+BLC7Pq7FZUpLgRIvhl5QhdB3l9187/RxSMb4gzN69XRCdM3XbLIDZKrFb6n18bw
n3raiJpVygpr65UpjbUfA1Y11K5hlb0YVNonhxbHk1xFscbS3ilahbJ+NrstGT0aylTU/5opyti2
q7TWriKbscptuOTMR+O3BLeKcU6FVNiFeb5PjGbajWnwCM0xvNdLDiJwqG8anWu+27hOwYXYScOm
umsVANHpoJzW11naHlZIRMICtbBfZUOProNtG+ggtmY9fqPRlpzhKjRmq+Tooj3qVYSUQ/riu6xS
9ipQBqtUOayiZbHKl+YqZFq+RD9axU2mkzsXtXNE9RxX+XMWCKE1img7WjA/kPO3/SqX5qtwWq4S
qrOKqV0lmHqsAmu/Sq16FV21i/ADH/FzWAVZd5Vm81WkZU7zw2YotiqPZy6/1KTnaK/FKu4uQ5Pu
eFc3ehV+axTgASUY4eiarNIwC8t07BxkxilorcdolZCHVUzGaryvI/0AoLF+LDHy3uZV2I+bApMe
UOaxuhAmTfXODhUXp0aUryND8Ae8h9A5pDHEjtMw2etS1T8Jx0ieCDN7N245c003aq8/0gYpuEh1
+V3fVvo1ibgBkr2JnqfaKWnNake26hYhL1NRvZMa6ofAAvkQaGKDTeUwG6ls5R0Hh0aHIC+4dBeB
qp6bsoF0Qg/HwbQr685tfg8xrArNPzW7/hb9K9x2uWPx4kX2aDFCRxKRdtece5mAdVo42p6FsTB4
E2ETCFoTS03dGvhmiBptezNz4NjbOijeA5uRyXZK0maHDSZ5LmymErTG17upztsnCkDBrvsgbd31
UssEr3jvOvagTWQF3MLzcqFzvqD8c0A7vZ89BetjKFOg56k77djWef80rF5n0BgGPRIt216E7g9h
OtXzjHL3sx8D52Q4zljEqRx4VfuWP5Op6Z4X0GDPmkF7w2uxviF/kVsY+JbYQOdxa1Krcm+nfDS9
Ec7L0aOHY80v0NsRQPAB8NxSGUIkjqFZ6/ll7My8D7S88g2BdmZiBzGv2c2qnrfTUNOqwfN3yKnF
WVMdDPGTKef+QcV89dxZTX43EwH9ZINTB2t0ui9vYkSejG13/f2bFQSOwr0aLb59RYfRQ7pkqB5e
7/kxFRHhgzutap8x1L+qdfbUeM34TdLwDk9vxuiVr3/x37N3bGnD92Cq+YNVUtgnT7GIbEkezTsz
kmv81i3ef3/SCm/gpy04+MeNNTOCzSew76EbtVdNuTfqSlog26IZPTOBsl90s1ozhtoNHujFc08t
4LFHizHVtu8ZtNrpGLjHjj77/Ti6zRnmCu+aDTtjX+l6+ByCLKfHsvWvHH3nGwEL+TExi/BRC6Pe
ZXwiKeeLvOQ9spH+6PjLUMySiW+kQn5iMMNtr9LMeGoXghyLzyCPcr/o0IL93P1+t2pdt095Ossw
lmXSDLFFsCRuC165OXC9W0tIN4EwAwUXvwDfnix2GgfVxKeeVO4GW8tbiIoZ2wDkYrDNd7LJ7pSY
70dDflOC8aPy2vcmR6Sr/TmOwos9jEgV6X2mTCi5Q3asi/6Xp6ObyGHIOjDka+zgcZIOA9HsMPjL
c9pLf+uZU3jr41lAD+cKChLD7uY2Du2mfRzYx8aN7RAVs3LLf2Sg811aBXUcijW8tMJ06wedE1sB
gY68nu/yKdrqqdjKpD07TZDcW4MxXa3JLvZUe2BA0aGfHfy2BIsTKXc3Q8LZBFjljkpBfRlo9Mm2
Rm99NukUK2F/iUZRCcDZ+6ZYRrlr7No6kRz66K3h2HBwZJus4lKNDqO2NHkzUvtVGuHHPJKeWxpZ
7ytFr3g9N2Sbamem92FhMm73too732+fyFK7MVii5bOmBoVqILQKrJT7bpiemmLswN6VaBtDFnve
whuc+xz1xEhbl55LYqrWd39mDskcDpLfXJ9MmJlHzSK8NcOx2wH4T8D3UqiYLt3eaNs3YY6YoJrW
vJ1LMzj3fPAxZPgQ/FXyZlq1iEHnbEZr/uXM3WOXh8FXbiPruVqY7wE65NYqy28DGY0flFc6O551
ufbAhzGde3gq0O5XsKYrNmpZWA8cVR3TYnGYx4FGjBcEsyh5EjWFJvOQ7MwmnO/wh2lyqZzrh7gZ
bNpomqXnxq/s5ra1/DtOo+UDHytqb/3EuncoZt1pIPccskejOJJc77bcrRRMJrv7kh6UHFhFp7lu
ARN23Y8R4vNWhDLaFpZ6NRMwSGbLbh8xHiXbMn6QNn0TmXMwZ5F811ZHXNAp1cZDso2ZyxiX3qVG
kEBX7PMYMixu0tewYB9upLMdcGDeguJKdxwSwk865dRjwNj4ewkKlzMEaGxMUv581kOiEVntJJww
5xbfi4BMvivd+ksCLf5CAqzOUV8HmyaVCY4zA5XFd/W+lHxtWjs7yCrmXZAU7QMJfJzTmeBk5axm
164P7zrV6ffGnKt3bVvOnU/fROxxwtr0fr5sK54iVvIhRxDPGk/ECRaiaONPRXqrcH9YZ2kn1rTJ
5AK8LRLjnl6G2uSRSJ/pwDKuvkXjVOmgAfMm0kCb9KmxU2Ux3mIfp+3BasDQtMLrqBBdNNvgNLZ3
Ldi5s4t1cZcIGmMSKZLniPjJI5JZXuwWKRooSlFj3A1p6J04KZQHy2zFLp+qhLpfr6X5pJ9+gWi0
r1adDt91n+sjXaLixRcDTjPWwi2Tbsb1gQbv43aUcQfLqYRUeYMwbpzNlgWss2xxbLHex10/FNhX
5gQrjxXya1U4O93qZyCrcCP7RF9L3zAvfdL0wG3a/iBsHOujLpOYM8NlwmhIJueQ2imj/XB5K/q+
7bZFo/DkadGDsS6tTZ5RLl1TxhDTkOgelna50EUGhwaXzsYeoUx7lVT3S8kZr1StZOdS4ZVZRPUk
CqmxYJXGmzNEdwDv5Jf+fXXz52EfdX66Hys6ZQyHvvi+z3N4GwuPODnB1ZbxyA7aXptgwgURjfNG
mtp7drqJQo0p3UpneZp9J7ibcht+WxgWB0IfB4q5qVa2gP+rNv0S03xwBrY8RW/KTuXFuJvMaTrn
ypLxWMjkBHfsNk/Fo5t43pb22OI0L/50kxQEcnBrGBmV2SjVj1HJ6mrdBCOEqzW6nFUWo4FaF+mD
4xdiyyMsdYpLSbtwQSLDSNkSUmEywI/MdEb70NU8nSbOv8utx1GljIu0Lr0dNQJqO4UdPFFvLCky
2LBvj+229nMM3ZTOZ/NHVkIZ51LuJK19ZDd8QR54MMxI7esmWlWsUT8lwbLsrHmRd2nhtTDgPfeC
VvIqFiffLZ3/mEctJTbLAOkcI9a2opD4KoLO+0mD4RwXdrP8tKQ1XHRNc0huqa8+nfEXeba6hAwU
tkDz3TOFunpVI+Q92pV9i4YkHlOOKjs7QUWejeCd9H5CZ8hY/NDgUjB49C50PupTayMHYlqYID2E
bKi+yqc4QTJhq6QnHTU+P5iUJUUGtdxe6d4sDgdtlI7PwAax7oqajnqrjKvW/cigvGEzyKPznC60
eBTWeuhPUYV+muifn0Hp0TejG8k5XrpHx8/xKxbRk0lO2ASxqBYD+99QnpYlAWq0rP1XLobCBzrT
lpeqN6uLzOoPLqBpvWttMaLLDKvs1CTtNm+yD6Ao7Po0tH0Gyl/XrGQY9mOTq31vmf0bxxd/Z2Om
eBwSKqs5Az06eUHlZgF7ZmMBPj+bbkQF+bzwpI2NfvZHPd6IDt7ZUqmQ4dg8VNeyEYGHCdfJfuJx
Nak4K/JpX1sZW4EZreRGroYt54AqCj/D1GThUKlnPWKfCF+GPujeFqdufi5MtTscB45rsOQHUROP
pm6+NatD0Vu9isnqWoQtPe1Caznlq6OxW72N9OeUd/nqd7RW56MvVhOkR1EXPplCU/7HD79SozZd
i9+GyWb1TqJDrj5KAPq/bZWcnleX5fSH59KR+C8RvtSvbPVkBqs7EyovBR4YNsvVuSlXDydGgduy
H2vuWfg7/dpU9+nq+aR8G3F+9YEuqyPUW72h/eoSLVa/KL/Ydy5+yTaIsnZvFLhKq98G039Pff6Z
qY9tkfn636Y+F5Ce63+6Lv/byc+fX/fXyU/4F6DGkBLgXTjI1z7f8k8lK7L+QnweORhK9P975GOR
JCCObDOE9wPvX5Ks/PAfpugUrv9OQiLIwI5yzX8M2uRsRF6JJ+lEQ9ByIS0OvMeWqEBLDQzTGzLz
OAjPSje2NSDQW+DeXJyJ6zHObefvzNe5YLcgFTkplD7CU2TNbR+XiQ31KMdcCticJ7Ar+4V1vKBN
/ibJg3ncNbKzdw6P1IWMunnkt8QkMmfuVFJo3aivoFhttfjCln2P1ZVaMyAljwRiA567ZIKjqLEy
BPy+NEfM5And5Nx6E3dbv4GFyK+JYS/RDe5AONl7pmHwIkfDOc241q2Nn7lGQ1UPRUlj/2Qlywjx
ae3TwzUN6OVTpU7q73WEDfnZVEma7+oxncAxlpnhvWVmRMvlJtLRkGFydkqq3HUtOn0v7GDM1qI+
nd4tEZbMfVvOVvqoU9Pfm1VZC3eTp7UZ7m2J8rY1MoI4J8td/2RqZVHwOvVl1xx8scKuqSn2NnSf
0CmXWDJIt7jWFycE4eBb3O43tQ/u08dDmv6slzm9qmBud625VCwhAY1LGysV4Stu2MEAa6KnHfeI
4DD6C0dcjdHCVP2HVwh1F4QkCXEDp86x8h3rYaGTHThVojCSPIAvrg41IMeLJQGGhbBtexUWsap8
gUFU74UrOghapc0HpgvMzTDmbUwuK3lQGAS+l51XvkIpKCE0Nlns4ECNh7z0vhjuFY+hZKsT0SS2
TWRE+4zgymmA//dWeBL0fpax2QR0C2OZ5h6SVEe44tUjg/7ygVMuh01q5YK40eJgWNo/g80+TdH8
DRVUEY6KIvnTa7F61mUWcHdxaD1P/XpnasaIgVnJ3ZrujbMlr763Crc2tanZgaai6MOH6EnJXtIX
90yCxI9UWZ6F/2o276I5xDo7FJbBeuuvHm9ztS/Kbj4wj1yeHbv6Vhid/cYtuEsxaJUfObSPZx/a
1tbFvrsH3OCe8PyDjhQTfbKO/koSGf5YJo5aUddyY6LXffjRL3JXLDmB3Uy7m7LTN2Q7PEygHEcJ
XTr1xk+T9tgDPD21SN0X7HrWG31h4R1XaE32TQ8nAozVqXHnKCYqI79JQCJXh5P4sXRq50YTt7ir
wmoloHbeAxXB1t2ouuJVYCV+4x3lXDKNzs3YLtURowiC2OJWHxjVIABzZwgor3eWe+EN6rYesEPV
eWepDaea4HEuBgraYYCwrDhTfgnn3nnAeuSzX/NIHKupTww8Z3l+bvzUuY7hKG8VFTUvk4QXj2ql
Tdi2Kr8MWSm+jSVnvDz3uzMjwmZnTHn0hvuoeO6VP9wMHrjd3TQGxRm4yGLvrTqr7z0zSk7dMmmS
c2TMTHbJPbAM75enenFwA39+mQobF3xknLh21qfBSy501DVbTLvmRkeY5awmPdlRdzN75rziSDeU
5Y6fHFlo7yFncDQZ/20ar+MqbTGFYnYW7O3MJKA/+eInU5DxxhQ6RwiciSI1rn4oWk/ccaKdjyAt
nYdk1vPryFHjgxYt9cALklynthtfkLqsWLm63vKcDNu2noqjRl86UN/oCwod2/J7l9N6yNvO02Jo
gZW57D4ddMkD8YcJuHdiOrvJn1wOpP1wH1iqsSmMmZmp2mD1Q27XvxZoWcaGuzjBEBMLLPrvN/zS
6pIl9X2nuLfYrZ2+AlOuSMlEYj85FL/hMsjNC0d08xINZXRntLX9ME8KajXNONFt21p4fKrpWnF4
rDYWD+p5ZPy5XdwV0ZXoYTrlpZWecVRy5wvJafFiNJdRcJMPHJaapmpuDEDgZ1ug1/ozOPzYHIwk
lsLnRlDoqecvHVLLN8qiOMpZip+lH3C/wSvIXhJxHWzt92JU+amSHokj6u2+WX0hH9NgCO5sqmQ3
xiiWasNlRHyXzRjdTV6wXLDtGz9wqZvsaJZ+rPKW6xlPT3DbaD1/zvip57hMhXdsGk+fjbRWB8AH
6k4NvXO2K7tB9hPiWXuevJ+8OQGDrRbIRVP2wM7WvfnR2P4Mhyb4NeeE/zb+ALUwitJPzf0HWWGJ
NqQUSDGE4808Se5lFrdPA5G2jCNDGid47VRKm7JSP7o6tCrc3JqGXRxjxbnKXPGcjM2wa4H1nkKv
zpPY8wEyN64l9gBjxUuYNr6/c4Fs/3TSNDw0OPguo5WENypsSBpNS3/KovCIiGNjqbTZ31Bmh+pu
cM3oWoS1vJTWPOzGULZn0RrDJRmYmBduCe25wsdtqGZ8IbZFjWcXqTVXZkzcyOnveuhSGd4uRjR/
mc5YjZtozNmuI17jm0oPxrcs89Co85alp4TMtWkl9tJ10e58LioJJ2szbK9B2Th3uZk0LEuMz8uw
msnOJV54CAaQd3wmdO7EVKMK/PLou4Dgwx8lnsm9mTs/3FG2FyNtvKcwXS8k5uTcakzcLIOzTVfG
YsZp0lzWN/AsKgfX9IBjfm7yLaqzfRnDoTilVDNt+qxBRk5t53sQDmpH52S1Bz2yDqLww2xg1mFo
YXOsypx5Rut03K5N+RAwZv6gG4xpojV0y3bUKnrC+knzmJD23syIonhJkblxbXTufZkIXL+2mqKH
Km1QjTI2WW06tyFITd52hhMXYVo0j/vTGWZ6uLNyQ3xlY47ljSx0dPwv9s5ku3Eka9Kv0g/QqIN5
2JLgTFESNYW0wVGEIjAD7pgcjqfvj1lZ3Zl5+s86ta9F5iZCQYoD4Neu2WdQoDChEuNY98AzoXTp
/kEslXgotZD7IrPt/ex4DVx96mqVgom9A/YRvHEWsJ9nJ8JJSy4z+BXWxvhet6G3hTD+jYxmsDGK
6NGx6frl9zPhWXBO6ffkuLBsF0ORHZGzKIHECAhzGgJawk1bLj9y0aFMkv9TR3ucY6/l9qbLMOWj
6fYsT0rvIeFsurVybtajX7rFFs48hBFHLpw/Zi7CF9xSMu5l90pavL6fUAgARi+mu+N+R5bOHUuK
Ygl4GLkV7O22oq3XAjxFzj9/54Dm92ujwHMqdbIfRZGs06yMUF8tHL0Hr0qtNZ/s6kG1YsJx4UK3
XNEkz/F16jW46FJd/a7LVqwO1cE3dXOP/VrxPXH8jg9HFHxx8M02rlvaO8TZhXirzWGa7pEZlcw2
1dNkVukL/dnVC67EcEtt9uIC55fyXpRDdFpKn9NK6iUHMxDMgvQZwdMqW+5gq3BKDvk4YdWeU6c4
FkMUsdCarHzkiBlB55Z22v90apoYSZqWgwa2tULXPScTMa95CDv6nTP5iO3MuXPdTl8i2VlxVObp
ekglebgGz0DKwf/b4oenwvWfUz9X8Wiz6sg9i9/SPdZlYH3kAbX2na6IMCc+5vyg9r/R14Bga9zm
c5U5sWTLsBHO8tll+nseGI+hQCqDx+hTzwIcoyedsMblqXamY8BywlA6MyKc8sqqNxh9XnhbnO1I
ZIR4S/TbjjiBy53fU1jq3PWe+27d9h83miBZSmjbZQlFQdQVL0ytolVVazioDu20bcD+BqXVuYWQ
t1lKD3CYT/cZxulX+tYqGnXmtl6beGq25LnpsTPmBXEVaWdpNa6YW6qMGMQKvdN5pxF93tGqjOkb
cHqUeME9KFxYhT5U/IaP3yfVrxs78JLneuj9vTASffTs3rzL4LDGU4qLiNJMbnN9lh9yEYRb3WMk
F6yr1xpNi7jBkF7IBnBnLwt9T+qpiouw2uQLLbC+RP5c+4JOgT9MrQ//NFL9HW6bJRmJQudmS8AC
zXz4ZzNAlriavuswPxT1LS1ozAEh7AU27U2gI/poNvIHeHPSRt1I2+HfP/hfEvpMpb7tmzapUtAT
YBn/8uBL3nS+XkR+sOa2+7EUXXMWeZXRBhSV179/qL+YNm8P5UC4xAHK9Isl8i8Plcu88LEW8VDC
lqw8rVBXGPPT9uffP85f8R6/PZAbUG6GCYQd4F8BDmVL+KUrg/SGQNLbjFXcwb8lLasmHx4kLMHo
PEWZmfOm158iQI7mqpJm92Q9bsN1kvHs/v4p3ZARf3DQ8YwCkNFQVEB8MtMGiBB/9HuMdL1kA1PG
gWZJOi/qDpm4IMuzcqsIE7uZZt2PeZx4n60uOf722P81Qv8bIzQEDwt75P/swzx8fWZ/8kD//hO/
K0eWBVXXZRmEevSbCRpT57880FbwD9txLO/WCsYn+f/KRy5FZqaJEcD2ifbgVeSD8LuDyLUwZULA
wJOJEER30X/U2Erj6Z8/UubtXyDbD9mXpILl/BVfX1qJHL0g8S9Y9Y0Dx6dZnhpiXwSKQ3KoFGfN
dl06mBXMyK+elpxO5u+AU39mYKCe3KB0vLXVOs++b81vZWDkJw4cOBErO0QeEo0f1gSf+qiNGSmp
ACMxlVLrmSolX7giMUs2U1459amM8n7HBrgoLgGzDSt3WYVbUpnNoU40TIxi5FCIMhM3deUytnGa
yXJIopsiGh/pMb/VfZsqOVesG8/9aA877U/yaEed+losemLrgc1g1GOeVm2wM0UuPrq6NNfsxnxy
mP2n0xW3Wz1xCLpOAWWfFp3Ne1O07pY3yrg0GDpJdgbTNuOC0SXrjnLXqSMfPVr1tPVo/GRTTtnK
vZFl9tuk5xvPWMQAFjnB5Zl51dD0rsMomxgp6a3y8uhl9mYchA3tqMKO3uY59DfTbWZ1pvrRLQy5
d8fOvnR13R1GzCxrs6ALsZ5adfD8LL+LjOozQvBj2USQ06NE6CRrmkHoo5++92WQHHTiOduysaqf
N4z4ZilC6ydiZijXYd+1+8jOf46j3W0Ias3fPMyHlBflBQhxOONrWVfhh22P0MiCIuO1ad/qvH6T
Bg+NqRzkS6YmYFYUc7A4bDcgAYO1J4KaI4XiyMVdfOLc4eRR/RQsM4wtomnicPtEvsip97dE/Ago
4WCCL2+PMl9lQQDDmN6ouDHY3+xMYp06FqQ3x5XP6Hl1S6t80Lpf7hOVmQhBrjxnjm2wAjdnj0dx
WixWgbtziwoiSG04+ZPy++rswRc5Zyzf7m7m3a2fJepBdbLbNn0//xhCt2qYKahnH0tD/Irgf3Aw
Ua61q4NCnVnx5fvZa/rzQMNsu5p9lX5lJGrXlSBqCb23SSlUF8HJwq3SrvIhMC8YxcyV30VMq11j
m81a+lO0SsN+fKWplaMC4SOb0H4p2TVwwI3tNJu2U2YT9Ddqg8Iiit1PU42IsBqESy6ZjWC3jdR8
ziVPKpAoK/2i+5eUvUqNmdfOfrV4vzbM/RHFG6V/7jzjy188GHlZVtCMkqTkMzsDJWReYFI5xPW3
QWFGbxiaytXUBSeRYJqrQ5JoFWTF7xPFJlsb78ePUibLcZlrTtb+lPm7WzHtChuG+ha1rvNglEkA
PCxMtiONMem6KZU+tcpwabzHp3hkplIirhMj22jINQ+BR4PLItns+D4wv2F27ENPIu1akeDdhZUa
XwEAtCBGGpBCRVJir47S/GQIkqQep7d6HUb8Sn7L9m5lV1GP41eR0+8mveE0W7CeS/QmR4J9mWZJ
h5SS1jbDMB9nlHGtyKsnd1nYdA++L2Pm6O45Lw3/Gjnjvmuc5V6NJo6mOTh6nKAVzkQb+SOpWQ4r
v32AQGRAJbF6WtVEqJ9Q+MRd3U/2s23L4oPsrowNH/PHSIjkEOo8Sw4NbVh0KEsKkVk5O7Mw79hb
YsFo1WPqyu6sC1GsuXial37k7cYmlq2bOscYbcooTh1lHhZpfeHV9C/Clc0BIpJ9qPvRX+VWX68J
n9rl7U3edaBz4yQXz0YgNEq97QxPLOn1z9oUVLHRD7nXBQtZZOeaEkULFxIb7Gxt5V65C+hciPOE
C7lpL8Mpz8b5palMdytFk679cPLvzBnNoW25EEXAK+OEFPe705rZXgPuWRtzBaXTHbSB3wZpgJvg
ssdVb/y0CmmsZiaMtfbd8VeRGO3FpYDtikJkkeeu8a9L8zNd6nQjraqiTHmaQDr3BtNBIrN3e0mH
c1dX1x5X3TGL/GbtdJ04keseHpaGLbKaw+XBtPLovkeJl8jbybJxU7/b1S5OBDacYdyX4RSPQeb+
TG/OIBXMPzDLQ5/hmlmtklIxPZKRPWcGPppWeOpNQAhau5ZYriCfI+xtrf8OVY7vhuML+C8hZIK8
nO+abDS4YKXEur3c/SiriQRvQOeOlTTNbjFb61PVaGrUkb+wfk7WttL23pt8UcMYSjz0UmuOBYj8
A70U18W0DpwekLU6ohWb0tS8wQ2hqjjIp0clyvSNbnLgcmPdr7TfZA8FYkGzMmSqXs3Ul8fIkcEx
DTMRcgVNkBUUZr5+MM99YDjXZRkfxjQnsF4BTwFxUa49PnvPBQLSjdKy4iuR7ygkg5/A8fYQhca1
xH2I16JrqURyknQNNymkOMMft2k4VBu4KIxjYXIm6VjuWr8fDzdrHZYicvZKkPnnC5VtxxpQQzog
PtoYDMDOJPU59Tou3ypRn1luip0xmf5pmfrghxVU1XcEe+Pi9d1j79TeE5ynF1O7cJejRLI4dygA
HIxlF47BuJFeML30dTYePb/+LJZiOGQFUDxZ0gU+ocntx6ViFTMbaX/M8QGg4KXutU+RhpYbVQUS
jTfBFH2EKWC/Q4BQZxLO6K9YA6c3K8+NfbVM3rkWOWpn7m1bp5Br0yYg77uvs4H6bwJO2uSNg3pC
C9NzFKZiN4LruCezzWKiFxB0ZPIzRBpf4wDMdvij2NnjXCH4UC3nzHXViV1M+m2KelKl/dTG6D8y
JnK3/ELHeSYp0VDJVwRPZcJTGKwSry+YkZVfOHcTV9UNy4GPBCEPB6kLgUW05wrQHvCC+awTy32p
ZInBFlDJxjW6aUeaJNrmc5l8dKOed+6cdx9suVltRXTPtpM9HQJVjNvK7z+UxXUlMmtrm2J1KG+u
g2rMPo3Rw/WqUT1YUi1HkjSroEyr0zycghZmM6JsPV3cCvQj+FOC6WZQvRSG3zxxqCpPjQy51XsW
C/VclWFx37aDtWPnKC6AG6jNdcQunM3ujq0MDLLZM3ZZ4dbIb3Z6DiBebTq7GPcprgOcXrCDWHSI
+ZC5Fba9cOxiXRQe7m31QaCjWIO78cQOe8hyL3ARo2N01rFdumbrhWr+HMMkrNA62B4lJPg8Inyp
bFjxSRf5a5l/NDT9ffhAZ02OuZ91GiUxT+RXPdZyW+BzIVbSGN1B92a4RiCjMm7pSgrfZFkjurtl
Q3OsjZ+3pI5MTbXM1uAXvoBR2ISmF8UtzSfe40U3+29Z3HPuZRVnVltF0nhrJoI7qEqsIwtbatFc
TptZGJr7xDHMXyGcyNVA6+RqHLDFUnWdIjES+eXo0W2Arj6im1O52Jsa61DS36zjNnFd3uoPYKzp
3p4RboNmFP0KG2uJJXvs0duMPpaqwsMogyT4JjPzVv84Bje0l/kYsEoiWqPT4mKpwfoxi6C6hyzH
BWGyK9zDpb1NmgX63FM4J2MBm30Ks/ZHPtYT7vm6qaL6OZizsnSPCMN5eRrmMGqflZ541Ui3zwbt
21HDSXlVdECrHKznVjCxUCy8GEpUGVCglFLeMyTFAHlXzz8F9KEvVsPeijOCh9DltB8GMKSttidx
wIjGUsKawDPDZMmP4xTKOyn4223vt+8O3zyn1N2WRwTZh2QXj+jNuzxgfUTH8dx8dQkybpvP4YEC
xoVvMMPcJRj95wVO0Urimv5yK/ShFUsucQIbrzY4STv6kGkgLPy6w50s6keT3WkMEEajHmRq3LvV
EN6uBjrm1GfHrcsRxlY9mmKal3t29+4GuIF9MpsevILZcQTw2BxhKEaaZfXiINryeGYpWpj5k/tG
CydNmlghMDj2lmGvJAvutckrd1UIO+u8GvS78pL7lF1+SkN0ND9hwk7jqUhZRwzjYt6xf7fXxUBN
audUM2KwF/ojgXoR3ofchQlR4I2FvADuZtULYqlzXRTPaVgN7wNHT2amfrroZkmfam/pt+HtxU6o
d94Z0cD05dk1aPpkUh1UgXna+KMwD7ro5VOS1OYQ5y1/dcSYfSj7rrkOaQSJTVrylRSc9c0CafOt
adPXpA7Ms0t5Zo4FmJ5G5xbBWjURjqJxMk8E18QTeKeenWEimuAOmoH72GTyM1g6zMFsH1PotJm5
UNZtctvPl9RldQNU4L6sdPVWmNigw0Ilu5C8ckq3rmXvGIWGFwxA6msCjrYWYD7I86ci5hk126LD
fBTPXbPgBh08PKESQM5AysyOKTlQ3xdOfZz4DWKMXTvrBxmEZcaOvcqvXQpQxpQLTnQwQPamJyWG
RAljkiRGfsgIDZ8B7OaH2omCC8ALBlhEzdg3je9V2C4vVBQmGBMsn18OU3G7Mb1Sv5VcKmw++cpc
L0Ww3Bu6xaWK3LUb7Km6NrdzkrPwueoWrLqWNGFv2yVWTk6+6xxn3r4pEnq0Gcuwjje3g6zldWfP
4XANHuiGfVjIu2ipAvRikJ3yWzuosL5nEdY70Nl8hjFpcRfAodJn4XrMfOySsFD85cvA66serAh3
sZ9h5c6bydBvQzOL+XlRBsGBlTEw8A4Po9k7dJGPY2AHbG+IhqoTL0kX4uX4rW7L+Wf31v+m7LzP
XOzolyWdd4kRyOeqqufXP8g//x8h1vqLTGeGJuU4xMqxFgJb9/6qUAo5q4L1k7pQduKR2bQzzHMT
70h9MOB6JumHXTu7qbBZintbSsa2XkaEOkjuxLhs+pai58nYRUsR09S4+/sn9xeh9p/PzbcB0xI9
v3mS/iwh1tYkGzOx1UWI7hIIzorJPp8u//mDkEhzA+zkJEz++gJ4xTAz9E7qkttUifCfz4KtCdrt
bw/zX0ny30iSDu8fn7n/WZJ8+9kP/+s1J8zY/DnO+PtP/i5NBgH158CQ6fuyKHL6U5zR/ge88Ij2
I3B8cBv+4G2j/tynaIo5nvQhrTc3Ffp3cdIJ/mFF8NWxMEFWQNSM/pN8I1rnn8VJlyUGSrcLZYkq
CJ7lX6T+FCpQ1RTMHH0djCdAaRTHAmPsT46uXbi3AwAitjzWlZsZ1EbgUWY+53FlWmoP6cYoNkky
UskKGfEJSrrBtaGKXnNGlB3uiRRZaozaUzt7cjv6NWVZc5l5hz5ZAtjQBUPj2jNcBVsy9CpvxZrc
j6eIFm5P1PNeJuSewnKc2KPdcKAAZV+spo+gqHhog5FfwOFVr1bPTePWoIH3bpiWNb+S3ubTrbjA
LcbHVLXWcWhvlJ656RUgaqOamM4TefUACJ35EUvEnRlMO9Eaj3kiij4GVaX2nSPbu0Ux6ZHnMd8W
cuVkHk39nAjtbHXXZw921GM5iZbbb15BCtrYtZ/HuVVUW4yKjKWZ0vVTmnkeMywaZdHzx4EprVNk
5S9t2XpoVQNGaldzo64wM0izjdOpxSve5+7wVFKn+EDxIH4YxG/8aX7nWttWo0ZQF20scTTSEAYN
yt3YYsLEBwo95jmXMZZawvgtAXJC98EqmZ23sQQdCgT5HLgcr6wxu0/DZRpiW5tuFVMcbiPVctWH
srW454FpJYGaTF9W6C8DgN1hH6lmeHF7DvgrUKfWxphsursK7dSrrm883g9vPC+hvR8K8z2HLxOP
/C6bMhleE5Q6WFXdiy41C0vsYR838sfRykRAdijMYm6Yt9WqF7PbTK+wCh1U3KCt7kLuaxd8cmzG
I9JwwUrUpMrSsfdB6BoJjsEAibRLcNrItth46W30WsTPwXZSYjYY9/G85OnDoor+OEfoUoXvrKmI
m880ISWcbn2ov42RPFrO8C3FL7cm/F8eMtby6UkNNHY/znCX5GeHLeLDVHL8lReT9egD/joVqXSe
mEhZ9BPSO3s9MgtJ3JqXjEm8uxtt80PN7OVxvxkbW5k/3ab+CJRCn6q9Rh6mwh1XVe6Y90CJrJ7i
cU0uLc3G58XAF1hMSbXxZUIh0lLTILQ33dErttCXQGVXWG8+spQQZ2zpMRcEfyVyWVl0oMh4l1GV
h5oJuZ9MYCe4ykszM88CQrOznpkuHydhPyjPemeD8G4SeO1Mh/kuMGuxj6ihjtZukMlux27f3pmp
7b95SficJuKnScQDzTCoBCoUA5FXTcQ7ssqFQhVRdACA0t6nXHOu/AvpKqCW78JG+wSFXB1mq0FL
YValdmpMe2Xf9VG/pBRUz126HjvxXueGGK8dOWqeUr8tjDF5mEhDcagrBdB9Z4p7xu/taEZEW5zs
UJbLJB9tznj1nla0OoJ8rYtT6eB72uQclKvVTM03e3GHkctpswP0BGsjxaBWfmAYsSX88M3tas1I
t5wArTBJDn22w0ODw963ja2X6IlxXKstmEO6z+aq/DZzFqM2WqoThS7grQfM6Ym2RkxktH6VgCMf
OVuVG/YGGBupRaXGoHTXhazlsSidJW7HUewmFxvIRPbnTk2e4hWgFf4Zucg7eHgS7oAtG68qjbMR
/cgs07iuaDTF0oDPfTYcSHbwLvT8zU5mguRdbx/mBUGO/I04wQRt76zKQfn3cBvRcNRKmyTczbdy
KInkcKXq5KOD+PVMgxHCs48jM/NwV661WDSnOAyU66gqy/eFTdDKnQN18lzS3FwgPioEhFU2jRnh
jAA+LiF6C917ulRLqn/BU5340yBAFE4htAa5GHdz0v8AZyGJNVJvv8r8xopb20TCgsq1btukI3w9
fnBjwW48ALFswKLyLU1aY0GkV8pf13U+/LAb7jabwA36M2itaDul1lPK5n7vGDVAHdwh664h/lMF
UMiyBdYFDK+VxQ12w1FJry32H3ubLtmDqQMLE2OZHXxFEtnn2HXyByARAAjCbS9M+zxiQIc7FOSb
2a6uiU92IehTPEdUOoWrpMt/ATgaW/iLITM2Ofu1sqYqprRbHiCawKwsMM/GOKoeOgsrcDvbmqyt
q+8ykeZYtmaCZ5Uw1nopo9hjG3DUg0y2apQnwr2SemLoc17bEaurhdoUAHzPg8MQuYxuduiW6HsY
DfUBee9LRum4GUv1va7BcZiWtji6c7uxuuwQdsgOo6oc1gThZcIGPPRYxpzaRkOFq/6o3LzedgZx
IV1cOfgbjyorHmZe12MCBp9vY3VJA4jCs1/ia5lzNhgr/7ZpYtrsYreMCHR70zjcvEH6xS013JKR
1/Uqxzz1j+iEerxDrUnbjc2ds2OhN+NBIROuGQld1VIp7zfhQsdGEonlqc7NyPimenvW2J6DcIlz
r8fzSJkvNSqYg6vbmD5Ylt5DpH/ygs4v4mWiQ2fVl5V7mUqr42PlWc7KLgoAaabV1T+hZs/eyhwX
eY+Xy8hiIJLLmyPG+e2WLT4GWJlP7BGp59GGgqlYM+/BSSino8mWhUt/hYd+nrJhr2uThFXNFTNE
yf3URUg2tx2L40QolRZ2O6iv4TLmx9qse1YA3oa4pEIaCdMvaY80AgzKe+h1KPFysT9xSO816DRc
Xkvp8AKVupzZiKbpq6sTwBEFnYudKEkRR7Xj7nOGxyk2F1aUCsoCaxSCaQpTjnBOHQ6pbDPYnbD6
la1HeMPcuUxWqTfLWagzTGN9QEnWUlbZUffYekGE99N4wJ0+nqqsNA6GlD4HP/qwiRc5bnRvgXog
9TcsMofmTrlHSwVdF2fO6Mf4P8333isyi6Jms3gMs05ei6hQPa4/rL7trRMBf9u87ULT3+NzwtMs
y3kysc52AYChTg9vMEQjSrMi61zjqkRV4s3/RmDN3cLaIblHxgItbCD8FzbK4ecRT/rWmfZpbqCU
GnmfbhyQhxdX+2xaOQFRJ1D7dnhwc9d8S5IMgIAArLdORycstxS7NiRry8EkWT8M37h4LxuHF+mE
g/w7S/iSL7Znsj7gvCVXFTuCmXVBmW0U6jpKw4gLdyDuDerRz+p77IoAmPwyGzeDl92x3BDsFOvh
rFDxDn4WCsyGCEKPfdWx+u29ptq5DRD2iDftiONbTnGFXe9rTsLsI+LM/WJrPzglbtYQ/tdTQPU0
RzNGXSuN7mrTw9Spg29DDadbJ8Ai/NRzt5WxYLWfPfPQ2XrpiLgX/rsj3Emt+1B0UNcCrgOVHd1V
hdY/bbZaa/QS65PraX7MFRoIMqz/bZqI565LYrvJ1pB5FsaDSXglHepuq5vBuY44FDaez2YbFnm5
QTIBBDvXIwHZaTotAZOqBsdz7YPyRkRT87rwSDG2pcg+ES9QuewWE4CVt4O/EpboNtKehnXdzkiD
mDQ3hp/5W2CLwZfd2PNZ9PlyCUGjPgllkYXjel78QsXun6PGrL6lFhbC2NNFdETrS445iIejyW5r
SwJQYjxP/UdnGRRmUazA9mLyANQLrKzAFRvdBBZnf+oaPC8Zka/x2XNprput8oW3KyqDOIXJWVxE
lXqGA+9sDVLbg5AFnes4H4sC9b0IAvvERYIVWJ3xZQkmmwMLVz6n7PJ1ZkixQZ/2N9q16pZwvZas
okFhl51bnOB1JJuqNiUHqKEi5sk2Yh9Umdrkkh7gaWjVl1/P6DkCBfEOTgCAFNW5/53/fycP/Zv5
3+LA+rfz/6Gq8oaSjT/m2X7/oX/l2YJ/gEWwGSI86Ca4j/j3/l+ezbuV3N36DiMbEQvD0u8kI9f+
B6whmHCUwgU8iZub6F+jP7A4n9sb52OuUxGKwX80+t+wc3+yuoV4iICp4oJyb5VS0c239Ae0Ue7n
2DesPjvOEjoLowqzqAck4SRkgNVDz5Ybu2MRPYlSEvq59TfhjZlCj0x+zwJ531k1xYVhW3FPXwKX
DywDhuI+bs6PEB9qd2cVRN0ey6jo3iSMX289wdApoIBVdMBMpL3YlNUhl1PSIPZq5DYK3IcKq3NU
+AHituqWw2ItAxNp0UYbtolOt5noriAxpVqKQPpEkAAODfkdJ3bw4zfQB0Ep6NGL6TB8i2ro1zr0
mEMtjCb2ObKHLO6j2r9TLuCWehqvPa0P26CnqG7FIsd0EPat/EkUhX6cM3O4dKldX2/UmmYTzK0B
rDucU49oi5my7S3EtfIEjJdUSRwRrd6n1OYebdHlJ2TXHSF0mHVZm7dbr4HtYvcZ5OJB2SX3RzzN
W3cIbG53XAxzp6ueLJuOoShzP1Jg8fce+LqYuKzzMNpFd5ha7caZZT9k/tLH9GvgMteEp2eBH9vB
Y39xGnX1THZaXlVhURVzkP2AnS4I9dCkg4OlPHFQAZbuz/JKqCjgZc/y9I61k3tRWePw3MZlPJuK
C3DbXhLs6L+KyedwTfXutvfoCE25S19tPyKXQ+rZSkCI+0YmQUrzPwDSbxHkqFWHQ4mrk3ecFM7h
gKjaU9H1ztWZo/nkiEA95L1JdUSZfS+o5v70Wl/FiMYnhh7NdEKu0KcLBSVfGEyuc/1UdWWN46Xq
L7ZTZuuBV+R2Zn/sqmK4GHMJAI5v7Atp4QTghD1fNP0useDMurE8nqkBpj2+BRefl/A2EVQhh691
0SCRrJuigLshhHVyMmketTl+Vfx9NAa3egymBhwzXKzoGtBg8xgCncMCkxTY7+gxurgGlqZCoCiX
wOJ3DO3NlekYy7w/Dme7dN2TruyV6Ai5sbrr71rK49/xAdGIZgxDdnRvpyUaSyrJsn9yY1mWasfi
LuVmO558op5HM/PvpqmXAKp9JlnZcm4Li5m9S1NNJTsiuhBmk1KTMQFGhVzzaqAIw7m4hnCTtklw
ciewzKAooGmMxUPmdPcGqCJLg36MKvfK7qHaNKH40YsguEVfX/WtV5NA/UcddNUWFPGg13VuM/rh
PgEdc6r0l4ESsGrJajCFmG/uGAGUIeS4F2oy7lQYETYaRRoXpvvOxbC/t9H1tgauuHVVpt5By959
dSl/gOsaIHwkHUBpIA9+YRwDVjYrCNzvFAjIzRjUHYOctFl8HZcB2a4espUcAIzBWmoSVohA4ZhI
3ZqK6qLeKCU4nKpiXrusQq5h4lSPQBBT1BZeZoYs50C/8fxYz9WyawAJxnQfdLulnP07t5uArxNf
6LSblDEGJMVYNLyOljb2htSEeVwruzFl295VJgwbA39wLC324g86UU59Bv98qbvwe0voZeP7S/Rc
sBXaUnPPwEuU7UE7YX4PL+GzcQVuDeQAzPPWpy8mj376zhw++o5fmcIYxElR2ae0aljB2x4faTMl
2VS7FfudrHrQXHZX2cz1rmo7MPRBoz+WMQIqmXB9nkY+g7me9UekmdWA/5vySXaAd0yUyzRs6vsW
wFS0miL2Ug/EKmD/CHaiO7ZrLHsqj5N5vxTtgcwhhR15M1AKLproOhTBL1KZap3a4LdVFhJaonU4
l/TvsVbF7V+3yZppcpxZnCNZ4aDMfWNrLRT2hPZQb3VGvoqLO3ameXzNKsYPd68nQq0QcbORe4sh
f5RG0epVhpRrbkgj2+wHu7CFzNbO4b4cMUCcZ7fzH2du2E9Ol/AVKRUfPZwqk/ett/LumC217hF1
HO/7wKc/X1ujTPFhGUngUiQjgqukR4wlIYyGI0pEeCT7YmyHqGjSfSKHg86dFGlrrJ6ofHFQpCaK
z7Iy4YMbLSp7pxmw30y2W6OuptlnyNYvWtHOROtsqgf3nDqdhbvEFQFZLUV5/STYdCtnmshzzgt8
CS7tv5rSZTXnuLa6G6a+f9CzLc2YNCaizQIkheAQfTQzAswyvpmJIz9lZ+bv3JOZuKF134E+qe9J
skS/zDkb6cOqEudqgDt/M8pqudRmcKCwEZtq7fhfXhN5ORAXR46r0ZvAZFBtdvDa6cCpGyox5wcd
66q72YsTXkWOtVn4Ok7aQzTtqy+D6Q54x2jTEOiLXD0mTAqv3EeijcD3SC5Fs8OEDCTgvpYWnvou
n+cfJVtNl4tRCiOnbCaEBZae6L+Z8UDsoKdS3Km7d9qzyotTiRSGczJAI7WjeoGdKMsvd5DlFQzF
U9VXymZv3CQHDKs1yKaMLyvREHm/SAdke6/6UK9shs16o+2I1Cwn6HcPHO5Ppir5EbpUPDTktAhF
p1FK1Tyj/rGziumh8bjerJy+M364pu7vNVUNVOZSxvJ/2DuT3ciRdEu/Sr8AEySNI9Dohc8uHyS5
hgjFhlAoIjiPZpzs6fujMvNWZqG7uu7iLhq4q6pEpiIkl7vxt/Of851D79NcdPCNsfkWxlMVINhE
/bGxlABBmGYt1gm/zL60Qeo4q6AW6pY5uG+Ji4gWXlFTHPnMAXdHFuYSODvcffjOw63wO/MtClXk
bKvUzKeNNRjuvi+c9IYMYu4xspLpxrIItS4g7crxjOHLtQYcprntn+dRtYjpytt4jWNu5qGX8JB4
w6HQ6jX90s62NUEieZmttrT6hc7Kks0jHFm1ka4bngtjIE3lA/3YTH7WHKXvdMgQRdW9IWMqzEIo
7taa1tf6az4DENwqSgJamoha/ZMKQ3GJTNynwva+O3ESvvhJVb7DQah3IgEQhhzgR+VqHnJwM2OY
cyJizDaPqW/6lxDi7De2OgXUowZGmx27mgi5mMV3f8QnriJLvEIWgOEWlGLCGNNhfa5quz4AqOf/
5rrPgwPlGvMtIBY4rCc7sd6HcKA+hBTyN7bz6tENoTCts8k233rNALmNzbHnvWRK5FpufT/CFl/p
Niq9GPRBnUVfAZdULxCpPLkTVTKdetnP7JUN9CLdSezykE+OCHsPJvoO6XAf1WwA5VkOa4pUtgCz
MJfOKnx0VGhee7gxhKqh1GKjaex7r2A2DCxUxBYSTbNyu8H5HhLTZrlTN/ErAoCPxF6OmMssQ1hI
lhImeljE8VUqW29HaM5HOyvA4zmu2uhGFAjiZn+2cAB7PTJXktk95Zo9vHQvw3q2GkDcbXJPdS8x
qYTvkJGj3VCbAFz4beoFHeX0l8SecrJ6Iod1FrlYOtiEZg4hMif70YAXqlYsn4HBGEnB0SLGS41t
9EsRTcUzBplkb6auwf0g6s8dnk5cWDlhOeSDcB1Ddk7KMb4LaHmSu6pr+0OQhi3FnHacf5UBMcMV
vnFcgEnqwk5rGtvb4orWp9ywmrvRc6wzP2Fxtoktf0Q6VdA/lTqUTTvsWDdUx7aIxcbO9ZdmxtK+
BgLevccYNB9E22KONdPu+N9b8n8P/EJw619tyS9pRZ1ivTTg/gP4C9d3+ao/r8nhbyyhhe+6n+vn
vxYYhEt2Z7nosu/+kwjz5zU5/E2QwnN9h6365xX6P67JjuDeHQou3cIM3JA/+T9zTaZtZol8/SUS
ZnJ7x6PDLt5mVwWV+J+g6oLwa6loV2EjRBVayxuKgXXDAgtbh7ImZBxHwGibxUCVFcsY6gS8Romf
01SgZpYE91ZNP8vLNEeQNskjZPoLFRyO82qFYF03o7S+x4Edv5QT1DoUcvfL4DiK4PJith5DI9ql
deYujjXDv8SkeWEpelOIdTdL8sOiFZ/8bAJVMbmPRafEd4yx0XwyqZ8JGIptdR4yiNgvImejcpZ6
SXH3hTdy2Dv0uPzI9EwDmy2hbi2FLiFpa/IOXMbQ/DaCfeA68UX/hvlvZMnTUwh1yUVKMRvuKr9Z
ulXcpziC9r4W4CzZdBVR+mIlPBlwrVd63SE4e0eu/1TZ0R70hCedFAKq2t6esh9FGxIg8FP4mybB
QyqHbHuf2enzTGjjweOZkR34T8Rl9rOoXCIM6UFVgiwSuEKxVZbxTuiZgIDJOblgjY21Zi+0bUN7
uYzQALfRid+6W5oc5A1d0L0Mn/wKSvOsY4/ZsD4pHUavugz8JzyJ0XOnkOaPVEaKxVrfuMUJ8jmH
vc+V7+vA42jLHcVfA1XweQ1QINp+qu68sC5OsF54LfsSV5ztUaOLdD+PJ9WrOFgbcZNs/dTTN+A0
Duc4heXdIbfgmSsY7itbjeQFRl1t/GAmAOJELUDPOYoO2Hntr43Gk7HS0tDPYeEX1HnGMPMOjmEG
BU4Vyl1eYhKNvrnt6X6ZePgovJhyb6NPm/KYxC7xlTIjEmW9k6jullacAmSbS4yglA4M1Ma5ajca
IUXQxUpm2TqmA/fHJPpUJFgd50u5BYzahfrQQojx8Mx1vWL/VWhCQNxC7XFbaBpmO8B1VAf6z/nk
biBUHEEKXdyZVaGmWdRPCSS0mlICghDORNsj2IJdRYHHC0/Wx0lYjNj8NbtYk48oh/nNMke98/00
2kXD/GQWmTy2XZJstddm57Y0zGPj0vgJ5N2+o1aEwiZpwbExkmxV4rC+o6yH0EJQE20pZn00Wz6a
tlfYL+Fsf6tIJq1bHsO04ypj7ahs2NWVr9QdaeDsKNPxe4fMewe8KT61nt9vtC4BVYO2qY0QhkPT
7xyU/zw32k1aGtU6bg3YIZRdsl9Ikp8gdb/6EwvTMKob6DYmKW+Cr9BEnWDEwTHHZ6rUKhwfc7On
G+yJdjLoC7AbUclc7lDE5h747rNT5s5Gh5dDNUdLiP5nUzTzJkhgyfh82A7t0r0JKxa4plaHum2P
1ejCoy5ueZCetRXtw643gZzo5xQYSm3K8I6W6JsM02MFTXQTmFgwMl792EtYVDsvsm33wTxdMttg
4eH2rG0Q1bZDpHEsR87rUta3Glnmb6yy+Fk4lC/a1Qjyokj6p9SoLiy0rHXIAMVl3eUQTCm9xhXB
VDNN2PdDC1qc7TzSBlhtS7ybax9bG++thlUUvw9vb8sSIEESMid0xYf253TF/jq88zgu7/oO6/8U
iewKlTE7kN9LNnwqrEfC7I9DJslY8kPpurpOzMzvEPzEOu8j7rVBJo0Tw4VzS+3Wu6sb6LP8wmgj
nJrwzW+Tr6Yhh2Xx9CtRpXWIfdkTMUQJ9chDY1uKwruee+FWcqw/MvzT4aa98EhSgO1w97iUyOw4
Jmj8zQwI65KZ6wvnSr+xETSGVSNUdmU4G9atytUei7C7gwnaX93YTVDJpvDSTeZNd4baOFn5JmNi
96zf7+ephIbBwDRlGGfA794k21JeoSXkZ2a7TOSCb6923hMnvQIo5+nAZYg9Kf3mmXrGpsQmBVbz
05iPl4YuTYwgKnuBgvHixsgG3APepQ6/erF9tHt32cf0za4sCrip9rhDlT3WXrYn4ccCMWudK/iG
dg+F4qNyZ3frwmc6mMp+biI/5w1MZ/KG1tvh5LajeU0slkVhcy5k8urlNmXKBR0MtcOYK5utZ4Tf
QE+T26LyNF/O0sYIHgIp2Bhm0w2NjxtEM8TtmmM0+Jaz/fpaYI/GKe3zUTOgHdj+cPHnYTu0+Z2P
yrBzh9Y+sRIOVu3QpCBhwzpZ53MR7BEd9DGp1UE17GrTKN+rgrA51CMG3sHY8TAr1joK/VUwQudh
odo7H3TlKg7s2giuIEucx6RkOMfO1l4KOvrWM7272yZzk+8NNWFr6J/nKW15JozFi+VgZYhqWsdg
BosMcczu1NMwy2ub+uXHMFWHMJi/Zn4OkpSfx5vyOseR5aenYRa0v5IDcZIosNcxnGSYPA7BAzTk
ZtPrxDq5qRvvoBUDRO1j8YaQDhjRtIDLG50iuspymnRjKaqH2BjgiNVdgk+J5xqX9+ow125G5tcC
tdI3/dmOq2id2jYuIArKV6QdXhJjXB7PiKj1orQFqGCmb78aAInuzbgZpg18BId+xlln/Q1NLDiG
Mtd30yBenMlsvmMXMdBTKL7Pd64/CrkShTV2Kwds3sDuvrC3gwo/SmN4sBI/XSuQnTdWow+AyI11
mxuPyAT9fT6lX2QnMBBOHpQd7X1hW1s8T2l+ZxuW2lr8eBu7KtpvHK/OYcnQkE6C/IrvvjuyFSbQ
XAPn9gqP22TQUDSXO/ywcngLsXdtae01LvEw5q9EnkeoqzL45fVuvOkX7K+biOK9Dvz5yR/p4USA
esNjDOoiKP1X36eOwYg8c237SfZcxZVJEM+UhGuogRZiwp5O38m44xeWofyIfIdOwIEc8u3FnSy3
JResLv8+m4Z/C8Nq+CLksGXpnFwLk5a/eeCRzeXcwkaUdjSHau5rq8bsipPUuj5kPaERLav4YtnF
QeVRvjZcn/5ZbJi3oATfzXGb9I9GK4KD9r32i6HDQw3y6XmQZH+sMMWLH+o8PVdK/Wjz4IPTGXYP
TtRN30X9S4otwqtEuG/CDp0eNsI2ajweEFSObjDcDevEXXK4wKDsawVcbl3bbnvOLPpB2cbM59KB
u4Mnk5x30n4UcblICkVqPTT4F584IOW0Fb0AVIwDJ1nW4rHcsU3KeXhJo6KmJxSn2JvdXcEs+GqO
nZjXVHQEUKucWTyVibC+V4WLCkGqlfpMEgwrUBErwyoYGHpec3uB3RMnZDwuhzu/18Yq7c2lKvEe
2i+ggfVYUUNP8rHYlEwepKhS6lMpJLTKMTmRP/B3cOripxDlv7MuDFrrshpeiSGTTxl/1JHn7cm3
6E2pGso6SGUcI8SKlZ5csCuOuee3dudmC507HZpNUQNrxSH4bVAkeW29BCmaiE1UUdMSGrU8//L6
kDiQk/B/KOBwFo0kynYQirPhDhf/NurENUsy8ZLCEtoXWNmIlJb1Cah6uc798GnWhI2HlkhMMjh7
0/pOFpOBKYsoiiyjF+q32YgsQQnDERsvoQdYuh08HTQ+wCPsvtrioCved1T9yhV7TWtdg4tcp1hP
giWmAl0KB2/gYaNYQDw6T77Bgjx7DPg7M+AlLsPmZaqJsPsmGTw3LU8jPZ7QyoNyw1WFJlSFjL6K
fWo6aSE8Ygi44Zlw9lDwPoqqf6kbarsNTz8qHDqMy+68m0aY+F2j2J7QBivojrsY3QRtVwOpLMYO
1bcoy5dJEdy1l4XRNBvOKrPQXeD141F0DUD1WV2f81K/gPOadnC1QjZJUQqnyNpYk69BP/Iunwpv
hU8WuiAxyhffKs5t0jvXjo7TNT6hXwy/yFCJ3FqZJnJnsNGbnOF+SmSy00VfvrDYxznt9CQkHTJ0
DuoaQzcBstnIiksec7jMI2UmISrd1Qui76bsYtBDk7dPAKA9tjP8ZfzG1hqbKFMPKfh7QjLXirDZ
1SbmV9btSKFmx4YB0fJq436g6ojkicfuz1+0ZrbA45mKlh81943CMt7sQL/HjbfHdtpDKuQxbGfU
xFNhGwX5sNVAwIvklxGgEdPxYp4h4jeHNu8e2lScqinheEyg4sOSM3dNw/UWP7DAnzPsbQxXK5Fl
p8BCMA8y/Bd58OL6icAUrt8nv/+I+vh7Xee8f2rx2KuLTyF7PWCb5ToVf6NZHiS5UxwpraBEVvhn
HQZfA4CCXRjWe+o/AQ3HQXONIhDZRmVaZ8dpHrOR6cyQGVD3XrMVgp1lXvOoHhnPjIfea4eA9rNJ
L4FVDFZEnzkaTKNJdnMQyGPHO/jb3CU/RT7yHolGVg/CxpdBGY3CyuiWb0WdlfWWCHF55ZEFsWmq
RcGAV3f+xk666nFUtjoMBgx5M/NySEhGTLDa7sxkXeeqebNHik8njJ5ccpr2ZezJNQ8DVeVM1fkx
RDfdO2Hl7JpZ4z42e2/XUf4xdxpkRB3ehwH7uyo1rF9uKvuTTlLvrhFBd7CLOb/ra1A6mLi7Z6eC
Whh0NtQNM7vklcMFPzbvtY4RJ2Udn8WECZhYlXuxTA91mAzhXrBV2WQDt6XBd5YVCKVEHWujSJCs
HirhbOKJ7FPZQr5NKQbaoG1AGMG7DGw8WHtNJrY2ewdI+srDsjJ/D8qeXYjtv/txwSvGUHup+qI6
dNl8RPAkqzUOVzwwjBUy8XkWh99CkxRzG+BNyii4XxkNBDaHuXIz5vzxMhxxCHPJ8ibGPW79bNVg
JarJhiQwZbukNosjc+ORDTRJf/gYu8WGseU0x1CH43oLdY7eYNbrsxHcepZ3e67CKC5iyt4G8odM
0o6ZX3hU8xQauS1gXgpPlazYauWZs7Ejoos922hj4PpRW3Z78jE04rkq0oPMnaWCjpxerqR5An6m
ILCKX63G9RhSO7zcLWxNWJ3TfbsQIh6yjl8jrOAVZUYsq4uCaiO8V2AXUkVCKTBOdLg8pHZpgzkr
L7Hnv+K4k3vm63Y9LYR4OU27yjL38YjeQRUbdxk3mXd9TimUEbCKTlP1U9fNo1crAobgVzrwizoW
W1QG7lm2qEDqwRQZ8UfYUYFcI+TaTCZOZdeMDkldADbJG5ehZb4b+aSue3it+CcVZ6RrdRsGwO+D
n8Exc4+B0z5MqgblgGt8wxUSG6J6baKh2jn9tOWqxTvZYp3BmosMv5WaV231NqHjERlF89B1lKCu
1wKWCtQROL8eaORpW2rfuejo6kvrwH2AlzoCDS6sZ87Om02VDz/RoLa5N3LzClhMdlwHFV25msgo
uwsuqVE63iWstvBCV98hnYePWWzwiwzcfTtSi+Kxmn8JLOeB6B97kMayCVKYOyVdf+V0XeatGZSN
jUclAz5vP3suo+RnYLVXqe1THnjvwrJ3TfGuLCrXVfALUEbDNTedgQ1rrJYla+KsWltAKDa6HX41
ChpAYeTfkhbJvnVwJJDAX+eYLxBVArQSPNcQeSq0gITNKYDz6FtWZw9dwgG9ln3nTesGH9F92Q/2
ncFM36ymGLsBUWdJrHXG9dfzJG9oIMS73lByL6cKsyYLnbHF7UN5QWe6rIVY+vVTXvQ7VJz4jkcW
UWxt+S1P6Lntz0atuz2+iiLE1+B0x7Roo4eAUw38m7Q6t2Q0bpOAJZr21LPheCW8wkDCGexgAnaE
5hOkNo87AsiYljrYXeaEVkv7N6+Ri42gi3vaijFaB853mU9+rs6RBdiOUMJ/iV5PWd31nVqS/7nE
5T4YLjjnEvW//v6P8vd/jn/Wm3f1/rd/2H5q6I/9z26+/ZR9wZfyB/3xX/67//Lf9qvRdPcv8mrH
6kf6Xv1Nh8eutnzNnzq885sfujz6HbhXzqKa/+lWC4LfkGHwQqDSf9rO/kLRsn7zqRYmjea7qN7c
pv5DhieohtRI/y/ulN9Nbv8ZGZ5g499VeEpUhcV3QRUf+8PAtpdE6F/caj2+qVQnk3GMhJ42oi2K
dzeLKGPpU9NucPfDTVjNcta82w3srXlsW2cv6cqL9iKefJZV5VvK34cfPiipe03PFI+ZbCZfHubc
WfmqcjPVEdukSlffSjcStGpb9n2Xjt5S/tmJC4yrQK/zrATDIMPCo/0rePJp3b51MOHuzeG9rDu2
V1i8XtVgdm91joyw1gNOcaxBzfQOv6qceG4as8bnElNoN4VkgFdCgZknItLm3xkccaKJruQBO9sd
Dab2DKAbuA67uCLsL0tBn2DLF2n4CJ0dONuC6yjmLmikoF6DTOzbMOGkmJIoOYvMH4Itq+OUHroK
kDnYo7z+aGTTvNWYeK+9nFkHiEKe4lCOHzA5qjdHpbAmsRXMJwAR7ePcZPG7ndg8RjI6Tkt6c1gV
N2uPHTYNDsGIbjzVDyRhaor3ggm9Yy5HH4Elza+BKKdHp0CibGa1mWV99P2RbuYWwxY03G7FkbAf
7dR/sFoJZzQT5cckueaKqQwePNeCH6Ay9QT3Wm6oGZBbZ5zFIdKNBZXQgK3hqtjfZLPuTzxA0uio
pdXeDZr7zcqM3TAmtN/654COUciMxly8irLpn3pnsSL3Fnp0nw/W19TPo6/KAGTRjC6nJOj186h5
tqoKi11NHdN6nCJ91rHVfykWPuzaDcuO7tSuPYGEGH6F3P8yOA7KyDeygAUyOFWxJWtVZZtqDHnO
WmAULhjLCGeFHhzM9rOeRE40NMVpSQTbxif/LSPbUSzN9W2zBADihypAjD+wtEpvSZOLL3Zcpo+h
dvnbhOl3T3Aas13fJs7JsjH3U/FXJweupjE2Tnp7bDW0h3G2hlsMYHPtldn0ZlRxdyfMMvwJOokw
pmcCzFlZYgzS7di24Q0LpsYlruLa+JrFwntATcS7NAT0T67IauUfTlOLEPsgRVSxqctN6IJcaUur
eub3mL/gmkoe/CmTF2nNyZ3f2UO4teoRllhUORvDm+MSaGdWPweiZXzsVA0KmIfw2apj59IOTl9v
iU411wx3dypxuPAp/zpVVuYwlcQhVvlVPhHppz+M+wf/U1dWrNRqCoc584AXhZNZnCvTnFgI2JQ0
siMbQYJFgzajG0qdmO8SN2G/NHoPVpBhHnF8vUazwArqdOHTVPDp2cqpL96iCMiKVUT4GPwexh3q
pF3DjZLuU9+7PRfz1FIoVnNL8RTzDBr3dFYA5PZOCyBX1nLZn8xk9aMh3wYC8lTH5+UWyQkfagqW
72X6NI5hGTSzBz+lQi3cOA22uidHy7HEbOZ7lYvY2hqHse9eHcwsj0YeUOIwLV41gWltgF99qRcf
G1lb6MqLt40AyPyIX9A+9ovzDUZxDCpLFo8IJ4DA/nDI0SsqQsJUDb9IgbxHbW4KjyC5lhmfj8Vr
Z2K6G7I7gA/8ScJo9/3iywsx6HmLU8/Fspdl2Elb7uZWwKwlPn19i8MvQVI5Rovrz1r8f/7iBEyx
BIaLNxBOMAGSxS+ISBdBleG0njETVourMFr8hTkN8HJgS8drGCnzlH1aEa0wN3emTF6mT58ihkVE
OZyLWBhp5Sq2OG9vJEqIkWBzxIB1741Z9qAwQAJqAPMxn/zFGVma9dOQkl8tJ1+RB2DHZo7cSREQ
8VUC6QoOfkK9ENwngOi/OzDxYhKSkHedkCcUFFTXMODGu1g3gbyDw3JsH+MWebI7ugCclB+v0W/A
MOQlnEYyLHRqUIrhnLzFIGrGnc0NdDGNTm29J0Rq7B08J2sFLOI6f/pMZU19QIBH5LGd5/AGMgJw
BUip4jFfbKpe2P3w68S8g1NsnXQZkmeQYCC4BUzWcsy2+F0D3n7PPiU8G9dyayQXjLF6scjGXjxf
YZuDMBus7kXncY9qCPXJDtNHtwMVTlEcsC78p3gaufaABiufhiKKHt3FoussZl2XfgZG5eEU4gLa
5Iult5ii92Qx+dqL3ddejL/pYgH2FjNwv9iClfDu5GIUnnreOplhfnEXE7G72ImTbFoy3nyndu5/
jJh8aG4O/bXup3knZh3ukOGKX2xZq6set3KxLY/KwcHcLWZmzhjjnKkUh3NLcPjmFkmxaRcDtFis
0O5iig4nmXw4n07psJZy7ef9jTdhcQ25Qj5k7gL0WEzWLBu4Oljmg0+RHSJn1h3LxZRdBCLcGP1i
1B6tb+7Q4VSxjPypXOzcJIjtLwqkDBuTxe3Ncbg4vweTFJnjV7v50xkO63dP3IW95IBt3JXjTONi
Oh09xSNyyrV3NEgnW7/DhP+b6/D/yHUsBNZ/met4qnuV/I/Ne/5PppU/vvCPYTn0fnOYSD2XzhX0
4L9mOyzT+Q2xJGBBRa7C9hYyx5+mFfe30BEgHwQj8e8j9h/RDlIfDiEEz2dYtjwILt5/Zli2xT9F
O8yQP4JabYs3RmibrvVP0Y6QZJiKotY4OY41PAauU+J+6NxjWeicIx5joMm8fBOFB/avJulmYdqm
PIEMfsyOH+uFV56EtMu11SpMtqmJVhVl3Fur2srWPIeSba7iW9yIg5Mji0UOCUvHqV7HPn8YbXTt
fFwcD8Ay0Q3xYEfYQgkrcoRKh0qdVesU9pOq2GKyguUzLWKieuMgn9ksALLxlbOBoFX84Fhc0T/8
wo33l2hUiz2xf5xDMLdZ7S1Xdq7xqIx9eUupLmWLG7Sn2U8GhgAgrfuB7TSr6AocwOjxbIincptR
dXfndOSFlewFaJ1ae5uYl/PaeYY9IfShjAzT1OCFnFqRIPpW80Gbnbk1G/ZEjdu6Z7MLDkVh3xoT
q4JQoXUpc+tEbSYjzURGOg6Uvc2TfF61LbROZTYl0yIwzqDC39bG+Qh6rV3HueB6Tmb8RMgl3/mu
4d8Bc/LWUc2is8d/vZtsTKaHqQKDAzVwirc4eZ9asAGbcU5egVLbL2PpesfJgYFQWSwZEgnH0pxF
HV2bbrZN7gdJ2oVrBAbLPA0VN6inqhN53gPurAPjIy8miyRtXfSG3vWezLoVQXtJtzfNlMhvOG7V
SpENurWiCq44Zc3F2ohchoo0tOO+RCA92L477TnLqR9KOeDup7JSN8NX6ANzapCBYycgxYBtJXXP
xADZelncD7ZGrtHgFa3XBeO4k1+JtIjG2BgYBGK9r5tOd92lzooUtyH6VwDnmcaMQfrhumFnqiui
ApXyuG7ZkXvrNBNKzoRap0aWQyCtoUI9RiovafPgohTfC1+zxdyFUUL6d49xo1O3EKFq9l4QW6X5
ZAyzF8RbI8wKHIsM2/1E9wTroinlG/Bq15wuY1pxA9i1PH1whMFD+VIHzfRIklHjcc2q1l6ArhnJ
PiOeAIK4YbQ2einDLeFN4zXJ3TTf2NqnuVSR5KM2xDTBN4btD1fHLVSA1o5uxE6MZs1lnYsAoMfk
NXKrvLwa2cz2BdYuYu4wegMxT39EkGuTmisG/U93c2YlB/AQBkR8X8RrfKjzUxclwKYF+5EveUri
aOW2nvjGrYFBMS7j+xbL1r3XpsFWDfBLvcSieYBvwLxoU7rbkmDvdqroRErnqnnwgIO9hlxLewRN
CxWcziFJoQ2bTBypGR3ygRcdgwaj9MqV0DRIi+IFstjQwjS2Kp9fuUaSylyhmKxhj2wTU6pbP/jV
Qxs08d6nFyyxBvc+zIb4OSqa6YTdhRL7lg7Nt/8SSeiSfnS1rH+pv4tAn8LOPxSi/6+EozDg6fB/
Bx0d6/GfVKPPL/jzQWj+Zrm+j5T0N8mI56Pn2LDObKAI//QQFEvA0aISFGvnohj9QzJyzN+gESFC
4fgMHH95dP6pmP3BBENs+11B+z8wwhwR/l0yMkOS9A48JhLp+DeFgDH/V8loLpUa4DUEd2ZbTicD
fwn7Azu/UeiS/2Bdq4+0cxItgPBHzCD/TBx8Zg8+YwiRL40HPGE8rHCkDw+YPKPXXDPvntolx5Ao
EN7H+jNowBkgMCh8ph6siMwT1s/X2VXjIyQTbA7dXBZsk2mo+DGgdZ6Htg9ek6nmoNWfAQv1Gbao
ltwFTqJjsiQxhiWTkX3GM7zPqEa1pDaYSoqfsEmOcUGiIwun4YtKW+dGFoXARz800S+1pEDwQFzQ
cklwkY/K3vSSFnGiePgyxTj37Fmy1ROioV4pdqkr7Cb/ofE4gzfTLCSjbzxdMLXAEgjpR//ll4bx
WFcZ0Xp/KOPrYNjR0fuMs8QERXCA1cI520mWZ+y8tEWUYoRTqpu4ojwvklt6t5M3axYUjougDPZy
iaQyEHjF02wlyT1XaKInlLAd0rGI93QdB3cuMbu9WU8NJSNl6bHYj3W611VS+Kt5xqK+bF56ok85
1/5N5dThj5nGoobAJ/yaNZYjsnMhVSB2lLd3fZRn20xaHpajuqbWuJ3CU6e54y2h12rFTjqAFlCH
3IQHv78Nfkn6ek5ohDNMiSwXBWodpmVRrx3tNU9tMao7yw+IuGC2fKzDgtIiA8rMvQWz01wFsSYO
7s01NbyuP3wtevrrvN5RAbnQGlpfomcccFHsh+gwXqQ2cTlm20JW3T18Yzz7+Iao6PYaYLTjBO/c
ZN92p7KSkcRLpvghUM0vyZ/S47bSLb6TQNS/xhjkxUqMumDCcLT64EnvGYcIxirlV1N2HETVbnU4
Z+LYVB49WeBQHryxI7VAUGKHo6HDBymogrHqECVySq3xXlPElb22Zh5Nw6M2AlqoCLuSXdz71pDe
RkauBzjqs1X84Ldr09+SlF3Kazs5FTDTs6k7yiGvpueX0TVe5pNymVQsRw3QMEcPQYI5Jg74O2jP
ZmLTT84y64yfY4+y6Gc7RBXeJGOZiwhreushtH0IKUxNssxLPt5MUkvNZrPMVv4yZdE7Um/lMnm1
yop2mKXnFfOITe02E1oXi5L6KetkL9NbvcxxE4YD0wkPxWi6Z73MevMy9U3L/Edelte9/xwLh2VC
rNisEsWqWvNqENP1NnKZJsmfAfddJkybdshtSioZx1E4nvtlEh2XmbR1SeSR9dftyZNtf2cv0+ts
VQyy6TLTUpDF3BTKR53wwcwZfDUDsMUg7BVB/iPoameTeV6yqtNMPhu9XVyLcWL/vEzT6eRaT93n
iB0s03a4zN1UCzKBL7N4tkzl5NSgtjKoQ/d9xYdarGO9MDNqccgY6uluTLblMuezGSQt8zn8I8gG
h057MKmXuwGRvPHZFGzXzOXm4C93CPvzNmFn9s1bbhgcTzlwA24d/nL/8KjamFaxI/uLi3CzbaeM
oRxA6ReBFf6rX+I+S3JErqlJEAt75T+zdOhPzejhOwxjyZnCvZ0wWupGxgcwHJy0SR7rezPn00tX
ffbAkrD4iY8iONTacQ49A9x5tIxw2sYynnaRrfu1qsxyPUo3XkN4ba8szdK935VLOsV+Nz1EPkjd
w26KAPZQ6qewRg8mRE9elMcRRXkbaRK3sKQLXm2bm0e3RpUIP9J05iESiIH4YzqpaZ2gk55TAp73
mQzglZouRfJVrlHmGMnNoKmohfP7XSeD8iuDafCQqJhAWMyv/2tG9Ybt9pC486m6t4Y+JYkXm8/U
KhS/5OyoN9+KnSeflppHrKAxHT2tuSsaojv4J4JjZjoY/Aqk/q0b2AWHbpJix3UEFQGJFO9C8pYW
oh3PRAzx6FqNpGnZte6ldGH0KQR+WY7zU2yVXkDBg5VeGdCRqlAvz3QGRgczcWk7zWS+oRqAI7OI
79nVZYc0MlJqClji0fke+MQfRYzXUbE7iFSi78wCp0XJDgVyZRG9JACYE3BJrvyGHsLcro0hPdtD
Lg/S/t/sncl240a2tV+l1p3DC0AAAcTgTtiTEtWlpEzlBEuSM9H3PZ7+/4K267flcvp6XpNariqL
IMFgIM45e38b4dNqsaa3vOtTSsRqeRSDwM8VJAhDATR0UMXq9qkOR/t6wTN0jacLbl4mzYT1VkcP
ruxRlIWDvVvKpNrMY42FmYj56HNVV+2dWOR0F7UlUyQ2pvrAE316jUg4fRQRUKlVL60JH7EA4IvM
Y52wKk9u09132DkSGtbCghRj1lJ3e2Z6eqn5ZTaw6R4INGjizw7NsYIuXil7nkSpCWh7KSPQzQXw
9m1vAcDCNEJFWpnT8jMUQCh16UxfuInZgiNB7b5qGsBXISSe/Wjmj+M01fuY0nrLIuVwDcYcbF2R
3Qs9WnEL9NChUW1qCWHkv+fj/4vFyeKISnflr8/HVxib+vd0/r3D6dc/+m2ySp6Qp1DRKH2k1ZjP
XzEgvvrJ5ejs8KBCRUPP9f+3ioT6yXLAGpumKSREa5Oz7a+9IkHviYkq5A56Wf+4V2RpGu3v3E2O
D6hW2tooJRTjTPuju0mKqPGXIDxBAkMBL7Be3I9WuOwEpMd9jNgSitUbCnbGYrUDoZlEd/UA07E7
QHgY9qK26j2jAdP8ZcX95fndtT+c33lr3BKiQkxb2o5lfhz5Ti1q8tT25dEb4IDfKh4bt/4iGeCQ
EuSmK6svP9FpMJxtDMqqCxlGGRWZmjmP9+Bnvyis+9Zy/brZVrOXe5+Xyghv5qgG5uVErfWSR5hl
G6gl1bLj0WH4m8xNCBdgpoNsgQSAzvAPYxosG8RABboYKxsdfLklOKjmKZqHkB+6kSd4wN2shjDQ
ZvOGfYNZAlNJdfKb3tLT22Q7Neqxxgra9AQv+OJusWT/pEoIfmNTk3esMpI1Vv2Y1G85MLEHJxAI
QgcHEdE6Rs4E5QqsuLUbAqRVJ2IxshTAKdmCNEyEcw9sasOmAJWwCZ6nIDT2Tbw0JyRa1r7vRfse
E5x5q3LILTJpr0BJn6pStuRBxxP454mo8Lbv4NNHw2kyBgPK2sIIN2MEeFM7Yr4uwoiwSDoQTBat
8sFw1IspklZjtsoSn1iGoAnKt4ccyB3JDwWjih0X+5UXze12jIfpOvSWT2YfZrcNlEr4gIoGQDsS
2b1Dlu68IX3GHVNFRPPScF0YSJuxfDD9tHoYiHdAeesTWzwstPY4Y1npmYdwS1tQ45Ymy4hRtdVb
jmU2SmWgTDMzv1URYQadNLIJDVixqy4cJ6uRKGw4cG8XjXmaRFBtkfog9VuAQKFSL4+cmkcan6G8
567X8CrTZgfm0jyFllAnGrj+iUYafKlAo6aqDuhUqfFT9ahJVGlvUBxoPJXQoCoxgKwKPeBVGJDr
LaNzkmA02iqbh2ZrX3hX3HdnB+JwwkutgVipRmMJG9IfbRNKRA3OMjVCC9g0Noqx7be4whWTxSjb
EsdRwKzHiLJoEBdeFYTxFzhXE8Ppyi7MrpEH6rxeMOh/cXmRtTFlxirwFXwuNVqvdohRKb8QwOow
ONfwIDb+NDUHp9KosE5Tw9oLQCxgFna0B5k0m3IUM/rzDtzEfihtBuWe22IFs+vcs2l2IuFdwRKd
aS6Bk4UOExiP7tQy7XSMrDsqhuBXqnLBY0zcx+MAFx67JBrt65AT3RXaUu6eoxHBzqArtwH98my7
yarwA+cdT/QIjR+J7+MyVsW1ghjH7Vvq9OwiDNmJkoab7cf61xX5dJLCzAmGPSdEQd5Np8Z7r8Cl
jISulMe0a55UNC5v3rBM22BsnSNwYVgXkhSWTWWRn8NOOL4MEaXlqvIlmVN5iBp6k8ZNiqmZ6JIZ
FVTjfS0CjyROF8AGoHmiJAbIivA9JouzCQpo38MMPaDJvp7hitkrNQ/DsQzpKSK3zqjMEwo1sD9g
fldDHNq36AhgDTYD9D4q32GinG+zW4cfBpoJHxMBR57S4BRpYf2iVSpvJNvBVY7YkbBfXJnPAW32
h7jHo4qE2cakr0fsmFiYtnt68B7rEbwHAjHbWH3sbEw9opeXaX2jB/eAFJvzaEcRAsSRZG094Pf1
qD+ce1gr1cgZ86IEcNs0fU/CDn1AfNEKUErKOzxtmfEF7hNqgkkLC+yLxsC76A3CqpHNztEyhGYR
9WnOrfGFHB3EJ1quYGnhAgf9zWJIAwC0ljWYF4VDp8UOkRqSnTcOzSdXlGghAktG90xG7M/lkMcP
Hk4p69DCu7xzUAZDnJo7DD04M9qvMCZxQzpANdx9o0UYgZZjRLWqcURa03DuEMKgDbJGlwEAhEAa
v5wbb41JizvcASAKEoRu+M7+jlbCiMZd7RHYgoGJS9AgX64BlogdZOTk2KT2tGVUAcVGy0vw9wRf
gHJY/AeLjn2eH3nKiJVJAz3bFd4QY60uapVEC1esi4bFm22tZ2mRtjBD5vQ3cEq/6nwpL1/bwfCj
q9xsDIpUEq/twfK2bSTfE8E0dvRJAE7rSTwjUqiOSeV5d0pEFlfN3+1aq26Um4rbyaiuk4Ctf3Gz
63D2A4Q4JYJknMLSNaY15YCBRRAvUUXW+s3skvLnlEbFHyyTfVvwQ4enovVA8LzwwNi9jfVrRhTA
HGIV+6bxNdF6osYW05XjMgRat1WE3shVw/ugNUgpnu9NA4Bkr88lbwgjy3dWqSvWoBCQMDkXOdOs
lU0toVWkDPuiuRK+Vke5IkIGhc/Ec7aIkkFloZpQGtRtxPhuUFI8y6Trim2tdVZwt5BczRf5Veho
KRaGQGRZ3UWi5Ufe+Fq0vtZPXERcvdZzkZWYPjPt4+sihMdJhlvDdNKH2ZSf0ikADXiRhgmnQUVS
tBEZvBfxGGM6jCUIsBEyReXXWavMOq03Q4DF9xVcZGiGSIqvAg4Qr4lKzdZ6NdpCiCE8rWLz69a6
btnO+BVplVt4Ebxx7kL8lvnkfqzgDaavtGNfWsOSsA8tbWNJVHVKkOwwpBp9nA8C8ViE+zsYi62B
h/dhjECclRp2Bqg+RvGiCWga5hGuGg1GY2TxEKqRhzVxDGey4iJUcvzErmP6v+6GCTpz85G8YZiv
uYO8hYSvTaBhbAhLapC0WFIJtzDUidn5qA+YLkmI4KUUNStDL9TfQN78C+9NafRbd6HAEW2LaHky
Fo+RX5IM17W1AMgYL/y45sKS43jSfLYvhLlBaNoc4AtwThcGnckaCLYYsuVpSBqeBLAiivpAup4z
baYxiIhagcYDvykT/qdpAnVXXqh3oMzlld+kbLSR0jFIpcySM/nM6UQ4uJejRfKn58ZW9QNaKe9r
HcAXLiXipVVKst27YwWaHOLVxb5uG9q5RpibQit3eWTUXtTv47yy7myUpvnJr8hPC3uPKMTCdOJ1
Zob4mP0kM5mzDgZDrl6am4m5juiupD/btC3/W9b9X8o6ZemZ+V9XdegIuyZ+7/5Vfv/Xmrln/vbH
lIdf/v7XAs8DzGiiTPWxhiArp9L7d4lH/gOSPh+JrEA0ZV3oFr+qAYRPzKyjdClnXcYdVH+/lXj+
T/ChUAqQ9OB6ti3/0SDkzynLpumaDvNhGyACKt4PJR6tRehL82Qe0gmPUPg9C41bYBTHxPeRJRYH
iGCn1uTnEvRfrNSg+dv+Ijf5y1pOaXXu76tMxVugkMWSzmemrv2g3i1dzRTHiHMom9m8CZwvMxbg
FiEcSLMwZQszeZhtFOMCUg0IaanCZO/ZTgHg5sUB4bOQ0kP1dja1U6/0saWQIORZN3UkYf25w8pC
Tm9g0VuZ1TtAAf4lnoO4/xDWJy3BNfzj7KBUiuendin5Ebar1tjOroKtwFkCso28rs2hmFeL2QEX
M5pWiI2JRHUWxfPsM0hmTRwm3Q1ja3RsLIjIj9DDLvdOB7UK/yEPOEMfPkns60S7bdNrx+jvs6jo
OeFqBrHq7qV6sYSxBRz+urS8gxzJLhJqoME4X2patTAN+jJDf4DKqmdWZQSPST022xRv6NBVX3sE
H3s2x7uw9a4Sq3hbEGt1CeYIOWZ7uWjDStdlK+w67/mE0zBNYGDN5vheaPaQ7NtrQjAAKpvVupIt
F1t2MY/+ME/C/24uNHvibv4bkRGaG1/8aHe5Lvu4/ZMc/5e/+q1pxBZAX4ZfC5ybS9/o33uKQmDk
eCQgeT4/KL3f/FthJMRPtElsNiOf0SuAE0a7v+4pNi+o6GUxjoV0Rt1l/ZPhqvjQNsIHDoaODqTr
0Yby2Fn+OFuN52bswVM0R5enIoaxxLAezKhezv4QV7uyTnwS9SrPfGsNL3gE808+H0Bz/Ckx2FaK
C6aunnVdmrLYp84y6AMrDmmfZsCjX2Fc8aIKOmZpdmptoQS8hdXff0saRP1TFGbPjk1rvsqJmeBB
GjC+IUhiU9jesGlqBkFWaDbjvsuN5cAhR37qi376mwQmnYzzuy2NO+DAznFcbgP3VOjm3e+nywmV
IF2wqjpSx053zDjVnoIIuUjX6c/F+/7dErn75ZX/BRnmroSg2P7v//AQ+dP1lDCFw0MECJbGE//+
ejjbzSlM0+o4Go3QDp83PbVZxwH34MdX+mC10J/MEzaPLQK+6VuKD59soe29UDpkjMdpLKHlgGg3
u8aebOz4EwmDzn6OkuDhxxf9Dx/Pg5dMM5LF5PO4+OPHS0wbjTOl7bGXHLZWhpaUtoz1CZCZXEKm
//nVSKiQYJYJYIKp/MerhcpHvwML5whXxk3PRXOJM2Dcfdtn6vHH17oAoj6sFOXxa8WEYSoHrcQf
LzaRzBmRgh4f62jKGBFGNAo3dZ1rc6bF+JoI9NueXuH12KbDAchxV5FXAjDlx+/jz3cY1jMAILjG
Opzb+/C1ZlbrzXlPOVrjXOQU387tRoZB8KhkhWT7xxf78xpykR9SB5AYgsbjY1u5oQsnOqAbcBGX
5b4kdAIfHr9g6H6EbMxtzLjPK1Tq/811/9OH9KSFykhK+u3mh30pDZMRglaVwL2B9rEa+DZH0Y/j
qogJwf3xZ/xwLUe5vL7STXq+XnSfH67lkDSAbAlyTkyzEDk14PsVJIb5KpxH8fTja+nX+t0aulzL
JTIe2alnOu7HnC4CH2iAUBgel3kZSUuhFDmRGDT8Kgz+65Paf7qOkEhz2GRYrvYf12ovs7aRQPdJ
E3aHhFKJZgXKroLp3SDcT1EcEz0xIaojMILudLCljROdf/xZP6wd/VnRHLDRgUC3pflx7dD5SePa
7XgPICnovsFv0d7t8BwAwDqVoU+vTIr5b/bzyy38cItttiACEQGz26b2sv1+gx1CSekYeGQ9wgr+
jNMzP0nhzDdVUkT7RlQFLAGjhNI0zlPorYOxn4fjKIvpZyQ5dfNeoZ45pQFYuNA0yHWGOnoKlsS4
//Hd+U/v0+WLUQyVqB9M+eE4nxJfNC7kFR1M4cm3ee6dZj3UGT0csOqjPAA0pROPcdaDDl6O6dkc
bNIiRREExz4tnSsgmMER15a4UYZsvZ0cojKBWalIQPvxe/3zqvVN7qYJA58Tifz4Vk2FwRZIa0zK
tjmToRD6U0pjpO22P77On3+JPmF4enPD7cMP5MMOGxs2N8VoY8Rs5XKv4sWIVwXZaprb5n768bU+
bucsTx+/I8MpHygq0OoP93/2W7d1poTtvGzSTegHRK9kVb/GK5SiMajCdTWN85XVT94LjupwT7+k
+5sba5mu/iX+cbmiIzdBZbgcCng7Hz5z1lTwERCJHrx+bOajl9lspp2aRAVrrVruDSHNNzcKSFYl
+BdDXhVxwo/jtAGsQl7IVRsOwUn1/XzHaN/uoXYkVQN4o4OPbEPDOGdRi2iN8NSHJRPB9wFTzbM/
Z8sZzdqEMKxupFYgQN3JffdqaEw2XFQD9oPbp/ITCBHz0GEEuo7AmPYbs4qNR3Sqyz2BHIK8M7rZ
tznu4dcsmM23xeAY1xogD1ZqKoLvuW+41anIa3QYBaq2A6Y+hxgwWihwPrxGnxFKeMkrlLaQriAU
v3O4Ek8jorYaIhiUwnULXPp7BlNlhMOCS4hQ1yQ642XLT47L1mI1Q/zWR2zeZRu63xlbgVYqco6N
9HpMH9lsTJASsdfS2Y+OyWGo8Mhg8j3yYYuk9l58KjP/AakM641ff5ju0lJxeQxYBpR4wk5o2Pbe
y4LjaDMRjHT29N+2dNGwcboC5kI84oD34sx4VKWYzzxnsue6nsfby+0N5Nht7SIy7ytRRymp2V4W
HQMrlOJkgwaHGqIIWSE7O2GMddmtYJRfNd3CDkW8nfEVhhUrkkAjywSFYC0HMuK4dzO5z+26Mc3o
ETye87kn1clA6mwWdxomrLUpvM4YxdFZdpi02tqL3xqT+D+irkhjJDtVZWh+XR4KuAPFk18MuJgM
m3ubCzt+Q1Fs7yy0Sq/0sA1k/y5JN+Dc8+UeZtCELCJtpjtzqKfbeHaGaOM5Vvw1kx1bEw6cZwvU
SrYVeh3mOuoB5gWxaHPkd/FmmSwOMCAjll0xZKwlL+8WyJgzQIKA0gtJdTss97lrMJXW6O9NH7VI
axI+ACMmEIuwoVlgW9xj1Ws06r7E5LN6XUCSd8ikp/LQR1QMmI+MR4luTBtJSeoKjSw5EQe3VUjW
cd05021pZDUUHUaJ4biUW/Tg7no2yuY+7KL4aPpNccVk1lkjHIw30m7NsyWK5dTXZB8h7A4ew87b
AhbDCyqL9DxztTXIXez8i7dPY6iCNa4CgLqJeEGAPq4qJ0cUOaM1JJdzYxrTwkQDNJwli2anJkxV
cGXInOau2s/QhYikKeZTYqldFCHqQ5ZZnhADMMo1cC2m+ahWdc7HIsetWZMJnsGY6nrskrDUOtd5
aRhon/Gb3jYTUPdhENNmmOEl8sARO7eOn2QgwWu3lU3SXLYmI8pdVx3KcbCp5hqAgFY6mpLmDhrx
WEUPbTS/AT9+rXqj3SZGLjazRPtm09A+wrL8UmtH12oQVbaeJ5+nWl/ZX3PhnBbhax5ifBPJGIeZ
Ix+HIbgC1Bh+6SpgyJEzT6coy9mAHX1Gyu35RsZCnDEO1vdWnLUnY3BT4I3yOvXqGUKlkxM7oFK9
iYTtN/SN1WG2SkD1RTAQ8zSHIjlZpVNaq8AIvevezXhDZUYSJ8Mke3lyF0fAIMoCYp4GW12hVKxv
OSg5UAilnsp7ZvYEJzJ8Yh4yfgIdwfmhbCs/hMewzOfUW4TGTRMcmHb+z0keN0c4Q9ORSVTORTlF
n5vQfPDdcXzwxnneiqXvt/r54yJXrKCExlWd37UdEwePXxrgDqbz9spOIXSA+DiEKVysIi1ku5am
F7MVFZBwnIAnghcq71AllD496w/mxlzsFEi7fT8OzIuays5vW7N79rKl3lhM8TWzk9iJEL95sukk
MOgdggnUgFWb7ookde/MfmqJE+zDz10SjleinzZdHIynZOyxgYDkUF9FMhHT7sKbJfCQffJYqCY6
IUXDdGuP8NWXIWdhJpwdKBEy4z6bG2+bzw2p46jizBzJaO8U/vfOmRB0kh1oP9q5632exkUte9PV
EL5+RFlb9pzHiqk+VMuibiajlkSFMAYXZVmtja72DlTQ6qAmywapZfXNt8r2/W01Ekpad+Ls5Y55
VkFD2oVDEBlDqoIjTOFhfM3UfRbUAbMbEQiK/yRyaFM01qMRG3Qf4IGd+FIxELuIsnkIIw0ma9B5
n3BS3HuYzI8TyXJwjwBu0VRm+phc2F6hux+JcdlJ1GA4bGLnKcUwfxd2rcCRayXHIKntM3cw3ggQ
4/UQWPvBdVnYqjiTQmyug1zZd2GduQdGh+JaA+1WTbW4nwK3tja5P5b7zFyqXba0/muvcehsNPV6
aFEQrH3MMhCTAtffR0NhY68fmTuHbQCKnODCm970y1tzCTj2K1EChmyNpNjOKbBJOqFDts+I5Htx
U0kTp6zDKySFfkn+OxCn2VDzt45ynMzCsb/vHAM4saiA6+ESK3img31s9NjDvaFir/ZpTgpJMFjl
KbPmjl9XV53HJM/uKul2tz68m4Oo2whSl/IhHy/NcfQLY4WKCeAmqRLnpC/8vRMO+VtaMJrdppWq
PzuI3XdSJul35ebEGVUeeg+ct/SSkqx59trqa85Lb5u6ZDap3MVmQhkswyvOrwTjuNEaxxDiUcrD
1ezWdVSQwI7x7MoKiLYzyZ7lG4+3aW6/j4aqNjFJ7wjMFe3gIgznM9qA8s2ziuG0TAmjVMUzkOnO
sp9dJMVM9bs7yxzat6RJ2bPrjKcGm0CThuQPOl6duk+d2Rde+479gphJ0wHB9T0yMJ13cZvRxna6
gjKpM77XMirOE8DCm3h0+ydyWoY3p4n9l7BXUP013QAiv7n4TNVc7AlevqYjUhwM6cwnxBxkKOVy
+Dx3SD/NNK9Rl2v0YFJrWcSYWmtOUaipyJzbdFlNV8OuAxT8IPl4V910cIrEPDtjnKGxHnlmMCef
83XW95IMpLSM4Ikl9XSwAq2ib+AxENZsA+aMYV598kVCOCb+ZEwBauIxYtEdYl0y8luDLjYesS+Z
O4WJcwv4ytoLs+pO1RL37xW1kR69ZpvCyLkLjR9/DWy9lOkomefIq4i59JDWHGCOB8+za4tXw66M
7za6suvAxyHtFnB6rJKXnZxJETgdDyswqM3XoHJijpMmTro2fuJgHGw7UI+okOsHKZ5DBCGgL9le
ASOxqPJn0wX/CEzywRumlKRcWNim54MKhhvZFEhR0Wnnq4nDycbzIBJaBWRlnxobhahTrtUUv6WZ
HcFSpE4GtNCVPCrDA3YDG5ve+I1AE7WnlgdezERyl+K6Wae5PNlt7q6teLBWudvvfKIt1qiAjY0X
sJzNZLKuZhc60WJh0OCFo7L39/Zcp6s8n+EtdvH0qZZ2tLZ7PzwnxfAdDxgZiwt4KAme+xTT2N22
dLNOcTNnB2XSHrCnAbNC1fT7KurMt7RDr02Nz1OHgxD45dIBmRLXu3zssAN0U3KdWtM+lYxsBAeu
NUU1+Mhxuh3RPMKvm+TBbepobebw2loQp1nvI7jmKHg3Wa3JmB5Mud+137rGALgKnGhvyVizSdTX
ZjZIMJ0rCY6b3sHCVBWsBplkxmssnV0ZRDPnFHUDveGUG/XLmC+3fRoQEi6fqiYgmxRaXIG++Eo2
y/ekDp8tpR48u9hXnKbJispelRmPZAXRpPQ69Wa5ZruGqM0Iy7DcpzKLCZMq7bdJWRysjJBNPrKP
mWy6DeObXdJXyJu8Eam5fM8HYIg2WX4htncqgnDs+8+LWN6nIT7KpEfR5mVQvDC9hp/NqkVK1TR+
ioO1AnhDtiqhV2JvLduhjr9Mw0RASRddu/WT6Q89qkPSOaM2/oQLMDp4o0rXTT30Xwy7ITl4RMU5
UMNc931DXsOU6J85Kd2uiL0vsnUKBmW19DdtBPM3ZsJ0i0ZRlxOeiqZ9ibZ+S5pCCnEUWw1B6q7R
7KJ8esDqrH7G7EGailFlNHRWqWp9c28P9iiukNa0LSEmqJnuMrvRr2fXafKKJ0mONC4Qoh5DVPIK
bU+KtoSuppN0K5O0up3VhjhhUs5DB0/0nnEDWp00jRbaKIBPRdNUtiMlZwrFtOntgBjtNPjeBqB0
V1yVEQPx1RQitk8htbH9krIoZNn3m5LthT6TnmnMZR+89CEFQmDU1BgATGFOLNNNzTPu2a+D+Ww4
LlVy7Bnbbq6leZMYbjxsOzVTdvQe29LYJmJdELvMRhdPw7dkscfbRM6EV1jpsgO3mZ6idAxewtyg
yR06nvVgtW63lTDxNEoa1W1ZjtI9d9GgS17VlTNo1aolSm/g6JAZEoyoJZojZ3te2pCFAS6FAh3t
B/pdz/Kor2AXfZUZYO+44fi3cqLqDo7eOsVQcyRQKEG/V+LXTFsepK0ITiJyaQq0FPl+79Ej0JOa
y/WGymFeiiztGEjBzCYlc8T0nPzL5V9RoGUfiMWVn0ovUXsPPPGB9JDqtc2JA1xPjU2XwBfjLXR7
IC8Um8x6lkJ+Uik3M27gh5hRV+8ujeIqmxijTGCj+5S+cZbHlQm/LlJ7Q/EW82hMT3Lpir3M3fYz
iDw+QIxVF8jrtCD57ac7N86sL3lv8q0Xqcl7Hqfm2LjFdJdOnHcXIzIPS9ov56ma5249mXwuIk+D
x8ql7KuHqCrXpIfWe45q1PZ9n3nNZkiDMSV1lq4IzUs2A9CJiHcgjOCSdutjGph5zvpnSH2tyrB6
pfkX7800oaPoL1eqaVosT5nqaMnUKIE0pL3cdek4OtdZ3Zk3LmozaOELE7LFpXkFDfJ0WXdGTNQw
KfEGx39gJiT7LfdRB/Z7NUyGfn8Rtj8DZQpNEcqs+6zX9ySDLY7+fLnnu5puCCDlttGkXDtWtZzt
wir2MC86wBnFAjE7wOWVjf6mLONlJx1WQOeYvLYa9AtmifwU2srYqmjwN1WGeLDziAknENv8kpv8
CfKm5ugV+v8tO+6WJScWLOzP+TzwQtt5aZS7qUfD/BJZrpNs0i4FSN6y7iOD47Xl0WcF9UHBb+Eu
/L5YDk2lhNUkFl6UqLvylVZiQbRLYQ9PnT1Z18oag9MQBeUrXu6J5LWInw4ud75M0TObHLvgFFRW
+Zp6LYrTejIEjLAhM5EkZYH1QHHAJyzQn/cY8TDjr32EUXtVxPY1dUvzuVP69uZmprma3CawmfbD
mHZQnvQP1m7T6Od8yatXKM5ceurb4ZR1aCs6Wq4Y+H2jfV2IMwpNOnK46NE4N3F6xeb71rstqGQr
pvToqneY0wp3YYAzcmiCk9nx7XRdwI994hcY9DMxA3mh9l0D3zAs5XwWtMDPVT4EL82IUB7I62Jd
ZVDPbgshg5ObCd55R+Xjbgq2w70pXJofjEX9jatXwVjRmnMrl5aCSw7WOvVRDq9G1bNKvMV8C82k
whDlGwTKRRW/6bJxg01JdYq8mP1ROdwpyDHG40JB8N0LKj6w6vQabMyZledW5O6SnQkkHlrLwfB6
f0PKCmWfL6PhG6BgQW7vaE1fsOpPX6fBZwrVciBvaKVWIW7wAmGITboU1NmhuInGrn+MzdH/uRqc
4HtcTlgTXELjViRujrcOPIXd7Hozllbcf8dB1cFLIl2XWAVAR8HGK2lwb7IqLudf2s//pan8jdBB
oOmh5f/XMipiR8K4+KN06tc/+k075f5kO5LXsV2NI7yIGX6zx4ifpJ5TMhV20RYqQYf7N+2U+snB
BvAX9hheTdCiZ6xr/1PtlGch3PhDm93n8sLzeEnehT5p/HEq5A+yLImQtg6+Pxd4aofSp22q+L0V
c30djwJtT/B1LnwX4a4fRk8mTKu1Y4oS/nbY31Ams4c2A70yj6TUbeO5OP3msCKSoMgey2IuAnyw
/pEnwiNNp4k8ub5+NUVFTPQGJ1j4RAhd8Wx3eNWqfAwyWmBG87MLT/yqjEJ1TdfLfS3MOiPkzW7d
V1FJ/iVbOuq5k6XxDZLm9JSKMp++6ZGSl5xiQitv8CBvG5I1/HBKrky8Hf5eDkHBuNQJ9f5mwLbu
O9uyYBrTBeXAU3WrJSqGLQpFbbwDM93mWM83qCOmG6uZsg1QKv9rltIku2q7wee24As4WOSuXoOs
79fMBdBaAaAst4E/EniBa5HE3xY1br4UV+EYU4z6F66hk35pkrbYulYAKw6FzJosw/GZynR+yEFL
h0espDF0kLy6C+haeXuErc7RnAbjpWvptYKRn54gShB2xuGAwLhlqL1ncsPxXnhyMogTbpaIPTsJ
zHoXKNC9a29xOvsWtPVS7wymlI9N7TuvfeVE+BeysXpxQse/RuhnPU6j0Hc5tbgXERnxjyp1TWyA
9giNNmbstcoql5fvxOVpQzT5DYoy6K4eajGCDzCK51vfHThC+JEqEIo2dQF5u+jLKwvlrQBBzz9m
Fl7oNYD9Rq5qrH45LfCcvwEdl3rXVTFBk1a449dulwfPCR2EeO32ki7L4LD/Z1jmLYjNrnr2y1T0
a7hA6tnqDayTjY9+Rdv7rUeMWHyMixcWtC9QlKlT4iiizn2tpqxuqQl9GkOA3znGFFi1wTta5ZUd
cpRdJxBU2hUOOF6n1uHlXQp68UQhwRsYrRobtxdCb1nzrKpeCHzmiUA3gsBGl4zVBKMJYUYb3yul
fQNebwx2bReY4bGrhnhZhWXS/ZwkRAbG6cJ/dwC4x9zxuqHblCRdrSn0A0Et0tCnFYdsRdDoUn94
f+lg1y02wJx1M078LwstMcjGOX4Mop3J8G276kWCnV07RsWHCOjS3vEkl9eXK9LITKfdYEhxHDOL
tVkPNveXQUTwPDY0bNdQoEBPOqM9LPumsZxXc55bf+2EE6Rbs6leattayIdy8dKEceI692HSq23K
MKc8xgIamjYeCLGu7ZjXDwVHu/2c+z6MxEx+JoloNp4v7xIleh8eshljxRqpJ2/WrSSrzLCFdaMa
Ql2w+7aosFuJ4IE2wFAvn7qRAJFdmemv1Db1/fF1FtRNN6vyimKpvJobMoBu1BxDGyU3u5VM1YAs
pKXBglB5He+9MWOHIkIGN1BuWvMurqvs+4IpBFy1NPSaImoCq4Rr+Pm+7Il7vvIsssyI8EE0rTG+
46ZT9nJoFzk+8Pye7oZkrl7AsGGYN8veIj6KqEiEkA6q0M7v12XlIlp0bYMggdaGmdMzRxXruWm9
G8qY4CpRs3rmy5TRBmqt9ZBEM1SZrGmrl87p22DnJfb0aWAV7+HB57tFWPbaHEL3vo+79j0xSGlD
Ns/PIlPZ9MmXIKDpCrGwbfTofBhuwDXqD4NPl6elWC2lW7TrbmwyUhlUQWgKt2xYDpNyvcOI6v69
rhJPbC2a1JqpPTLy4nToHENyE4+i0Pd3Bsj63DBavpZAEjkh2TkFEWfhLWmoNryhThACVgd0TvLG
qeAGUNiXmR+B3uOJcQ//oHggY10f+9OMPpyXRjY2wsXbGYyAvzleLk5B08WHZPCtnzPXW579kDH0
zmQLvGZcG38T9TQ+9q47H6u8YGyTZMEaUNJTkxjNc2Q7jDjrlDS7TPnxfrYgvdNtyq6tibZWxmCW
JIf/x955LEeObFv2hxpmkA5gGhIMyqDMzAmMTAGtHNLx9W+BVd2WDNJIqzfuwTW7om56AgE4jp+z
99oFKGt4n78xvJNgZY24NjiO42sa0OLbBN6F1ndF5PJ5Bzm9WeN+JWYNXuElMWDOhkEGTS4CrEyB
dm12L5yoAbxFUqXjEHu+nZHVAQFQjTqU3eSBNtBucZ1goNEdDruUqQNGiDxjNz8yfInP6MftsU5P
u3mwBuaUGX1i6FWrTOvDG4aS7CbKRf6j1f2tUZbfrAh767qDYBrt8dVbF3VW6uZDWFvVI3Ej8g6T
503sDM2tMrNoNUIeuA0Red8RCBav8p4p2HWDgi1I3Lze6lGsf4vMETtL6N3PkSmeelBS+2pyKrl3
RsLFeT/AFgWDnJYXfwyIlwK0XZs3bRtVjOLr2NnmeqwTGT0z8go5CR7buMKtZdJmy1NYsfQSJIYE
fGP1FjhFqW8wwIw0JCdwrobdOylzkb4vAgUXGXajweh0sJpq7U16d0/ktPc9QRXKPCoB1N+nds+Z
hiHEwFEe94aV/pj4vJ+PtGevOlP/wVS7uazbmSmjMU61IFI67C5aMaebgenSnfI1+1xNqXHMDNH9
GexJ/lB+VDXPU6fnwzERMozOO0maQcRIYF038hv2wfAYx0ZI+GgGt98zpouhM6w1Mb6rwRXy0LeW
di1lJ7ataUWIlt3id05L8KKZE0JZHWUe04Tpj5eIEFhKLG782neup36MiHwugTyuEM3WV64WInoJ
G7PcxL2uHW2UIIyXe4Lt6HNjtxLToeY09SPpO3vtVPUDI0bQmbqE2lwNWyJTURil+nfDjGgcpu2F
phz72zhGOHvdDKC6EbYGvaE4RkRhAxQjjvqyd2Xg9SM+EJdxUqwbPbtmVU/2xRhjcxmQW67NGDwl
pHyzx62vtCt67Saj3fiiGL2K+AbjKYQJgVVRFJhEK5vjUZdtxJRjzatp57ZmbW/jCTwrZmd8yZHd
iFUp+ITvEBJjeTXN2jp6kS1uGC10d5UkbYRW81BxPXHHNJbwdbcbLlGuOKu6jx6E3oCtwyC1MSzI
OYyKQcB0RXGXEJFELgDlx45WQbKZTDL3FlKBtuo74TAbbXEEEthm7TJLV/e6lMO5ai39iZQnNigR
VZfsQEOQMKyiWVD4R6vTh33NrIf/aNr1uQUC5ZZAjXxYY2ockaKXCcNiooEOPea5Y5LgfpEhcJgu
9S6qLFIPepuHAqMRYeF9/I08yHDtOIZHQTEN0cPAiGflthNAwqa1aHYUUzDpkclsKfZ2ohf8Dh00
OEGjW/fnNUIO3Icqix3eBIC5CHcYD9lJz9cxj+FGN26R7+vR9h5rnwsf6knehWnl7iA2h+mWz+EY
kCNHVsWCU/NC8hBQA98SmIhYTDIU3HD4b89JN7MZi0BxOEczQA6haU7Wjv/PxIxxij0O2M7wK216
8ccD6rtNMkH/jEC7/CdOvSbwcTBt86W0QhmNL3tQZMXb6B/WeZGKbaI19ZY2PQfr3usvxyWzIFR5
t4bNt8QBugQTpMVwNbdebT3wfcsuuzK3cFIXDFduYKRapNM51W1fTJG4zUEAzQTI+ThQcf4SjDza
L5lh6tHOFyW2bZxwDAmFkV1HfGSjIZ8uygwst3q1fKetFx5byoBLM68RopXKisC7DCVG8cUzTloe
Myhc5HNIL3mFfHAHCVxdOGRQXzVljPvQJ6d301dOf8Dp3p1PRqP23qtX3ena+3gsDlhYz2sPEHzj
mw2G/YqJGLvlHk+kPICMC/cy8h4p1Mad29K5c6V9TF8N886QZdmOrIMoPwBPGo1d4s+zWhGYgtm+
ykuM94Up5lsc6PXLlBUY89nyCFqrS4ZxVrkkRVtgwDNa5sVPRcP9htHmfE0shUy2UZ04/Qtkpnum
hGVGkGLS26G5J+vYgl0/EQsVWy6SofyJrOYpPiemzA0vrFJ/7ka/ZmJHIYcjt+nPMkye/M6pAhed
pbF7i3Hb0Z+Sgn8nx5XMyvCmqttmR7NzJbV87dTj0xwzOLIt6UXuTWTWDcoAddYVfEHH4K+T/M0/
SrO/9egn+neUhxZxAT5YfoGmGQbq24MxnsBegaaUgSulfTZanESdJDbvZ+W2v3xpJF9I3px3Ir/F
w+ShDrcWBaz5Koj7+XwL2Qe1vPF/8BUqaBFtFZS4Oi+6mNIdw6bznGkdaiCz6n/GOSLdq2jwesJD
pLBCtW4NLS4uUyfN2fl4sbeioU+J7mwwrgqipOoDlgL/cYg7f0tSIQWgTZ48ZVsh2l/Y8SyfA73d
zXem0EIJtSiTQdL3lJlk/D1XzjB2d6CJnHY3o/0Y23WJvtT+MXOeQMfjTRzYotCxqPUjziIZO8Y9
keH19zFX7a8lyeSPNw/lneVHVPRd0/LPC1Ovv+uklgJN4GykLXunzgHL0MLjrLV9u/MJ8m73XlTJ
QPEPymu7qg2xlzE9121reNX317NwIRrjC5HsO0Gn7jrCplMDMxYR5KmUnUAsMxStXgWMGDjROUnK
2aAHfxmdff50LU/PG3XjspC/TLHpfVjm6dPlSU5wTc5CUJv5iWuvKLb42Pl9ePfs5zbxOFtH1cQh
ZOYr+/2/rr7oVkmb8GyEDOiR3z7btaYMV1eowGRam/dipGeaNImifszlwvxgVdG5HAK0keHEF7Jy
w3h37f+oWX08GJb/7trJWdbAv8oqaI2aP30Yo96+dLPGvC/hLRUb20BbSRmjCC6OampUnXgoDn5l
5OZBZE/G/evd+P/tzS/am4jQ7U9dopfPSfn7Dfjnn//Hv71NgS/UEuChLRP5M+113qZ/e5uuQaYK
4zEgPobLWJ697v9Col1amx46ZhdoJU++TkPyXwuXjbvLAXqG6Nfw0Tvj7jrhYX7GxzzdThFLowfi
z0FqD/lnaeT+LXdXPikwnVoMUiEu+K2jLuFTff4avV8CDxu9W6bj/JUxir1dAoX8Mvv252AILaKE
vJWmypUnuKX/r6X8wYfoq1WW//2v7wLAvWlyYlZxyx+t9qOafnfOF46or5Y42Q+Iq7ZRJrFEPx9d
/ago+OaXz6/C0F99VX/veZ4HD8SmHDN5Mgzj1FPX5hoxKyQ0Bo5Wyp8V7hZKQX00t4zt58AJyZkh
sIPhUE40pdXq/W5qrWkL3M/Yq2kY90kt5aMZ0+xYM6VMN7Jzj6ZTDM6GUft44dMAQPwg9Y3VEZFo
DGF4Bz+A4bJb9CnQb5SCbuqm560YUA9XaKG8moQOr4UgbQxBT3wiWJdYZ9AOYSDT3PiSEo9Mtabn
IJtIel6yZ9qp5+45iY/iu1YAYlzFjoov9UYTjKdyKDQ6us9Ycwh0WMjKq2zq8g24oP6i98lgTHCv
buI6JuzYbajqChcrRWFtPZpBm9adi71tthd2ZnYPU6ns4xj2xl5DkretLJkyxYXWl/eGvWszj9MA
CV6XHgKmbWrZ02pCpnJruR1/CPOuC7K11LaaPVMh52yNyxA0dlCl6GWiqo+PYTqMPzkNqeMwWz1S
lnCCFjtAVdKS+fdYivBbXGNU2xRooR/wXjgWaRbGbynpmaxxCXR/tMae4vWU5t2jb/LR2k0cQo7D
oPMHLTeYIcdlhQqJlPNuCdRRjgCpwmEbaqrVrRKbqCGgzy5Q05YQCiJWXOgNqXaVRvbvroXoMKqu
/5XO04M9m799QLHfJxO6od1rybcuA/ipK3StKxk3xp5K/vcy8Pc5ZTVzkDYcGVO8CxOqiLl75LBM
/2bi75HStjsUlDWPiUZMG/Ge7nnh9TEDxzHcWo4ELAXNASKimZ5FJY0XX9aSgw0iD1r+M5o3IaK1
H6pw601KR2eQe9HBQZMcoBVhAXMW66ZJu/1YeFlAgTbcAWLv7zrofkhp/JYHg7yLYx4R0aTnYXbw
cMqubK3qtwPGmGvP53auGouGQoFUdWOyd15RQ6fpWYoKnQy2BhTjRE4HZGzJsBeUUIT3INHvUgKI
pxWYcOeaM3e6j6NI3xsg4V/I9YMiNplaeGWOPhLaLHbdfmUblP2kTdnXKpbmhqA5sQb2ax9ULZuL
RqMDaRTzcCb8WtyEmqXtwZpYN7RBo4vRdh7DomH8C3cGeIcz6AGeA2GeNRKfdt9P4BmzJA5fOgwW
MLDGqltZWq/tK9Tuf+w08/6g3uvWLYke59I1/JcY/v826hublqnn6Vut7Ui4rfzlfoTgMDfGPP2i
bc+dbIcp38YRVgyjNVRQENV1kUeRfY80Yt6GyoMxaGmOsffcculX2eM3zwwHMEZOfNSLRg8GOI1i
Y/cTqgU3GdChIuL8aWSwaJuiL656axqfpWWVpDpG/jWgI+sejQOSeWBQ2nZqDOd8NCN1Yw3oXgD+
eDeUr+Wzip3xKJWabiZaE1dT2wjajKgFoMM651mNyMRonGEN2VDc1SB4Nh3eN6J6ECKuGbWwAOUg
m1duht1RMgEq8e6HHLkowZ0N9iYiLMNR/2OTdF+sYiD4d40cUvjqog2MgU0o04p2z6OBN4PcsV2t
6nbfVSOxRG1Nz4KvCiAZ3W7O85HW1zJ0iO9nBtrRikMvf6YTxgTd+y6gKbR9B/62EaOUaj6oTDXn
SKPVOndCIsdTUeokpBQpIQtUDDt4K4KOVOSfOa2PBASpBK2VhdsWZwl8W8HRcI0IEhWPr3dbXUl5
9o9oJm48tQNfom0JQuBAYupEDw9hx32YqpkGECKQG6rU5gXWZcc2NmTHHELnPk51te7YBX4kHHi3
1eC6AUEmw29XR1tiYqo7f5WEjFUCQsDDQ/bcch56Ae+FnyJHmvCn9TEAqZa4GTyR6HkWBYlZCgcw
M9IPTHHEU86Ou4h8MGy3HrLdwcuYtvMMv4Z/eZSu0SI8X5bE2oBwDJEZIa/KRJpg5YtuMOvaJ3fq
SC50QAivbAktgUaQunxVK5ltZN4iemWyb8fV45AUxb7z+3KP4CiEdW/osAEXwGuDSlOfFi1D1T+D
4OjOPFd4MOj71Nl4YaYHgIgIkFRyuPLR1CLGiQG0SvKvL0UG/8lgROavMANMQcX5nikdWqszScYP
9bY3FAdQ0kgdmFp1/SIBngMi1vkL65OYA58Ozp0B6+zbqxElsRfh2atb3am9kpGKWIZRdc+y0DzD
wzR77cqQ6HUgx2j3dcKRY6XRuyUoasZN7qLy6unY/HoVvND7B4YthXMegmhGg9Hi0m4iYEhNqHl7
qlFSzmstexwJ896XZYPMqhHa1iHSCok3wqnoVR63fOxaH4G3liIVGwViNstAGVL5qM3pYU03llT2
s1E0+basecChEWWHmSd6zQkdMq6tl79TvuFn2Fra+zYT8yMPUnQjYi267hh03ZX0ndbCbhH6yLrc
e7Cov3UUpET8JmZ4kY9lxBl9EbaYoTbddIwOOePqw29SKrSHwq1DBGpdamw8Tfz7O2XdFP5ROn/Z
ybbGnW7XxhUdEO0+Ap56A0UL4XRu9lvNmZLvZd96R78aOPyDJnyyemU/DVKzn1KnVld8qcSOzEpt
o5KEwAnmvIEbhtXlHGnytoqLcmtKpiQk8k1Xr3e9c2g1VK3nXZtL+FRJU8uXbXruSCwiTRWTCNbD
Oat4EHdMAPRzsl7Lbemn3VmhOossONLOJ6nbvMSurw49MqHr0GOajaMJVfnrszx7BiZGzfaoKzz7
fCYO6Mpty3BL9zqi3Q8UbYWsJbvWm7Q4Ewhnv/khbDumprZDSBQfQ322+flneAxZWyGoatD3RaNv
FWt8mDFboLGornB0ZWq6YlNQZ2YdlteunOdNQuMtor1bq0cd66KzAtGbbmeYt2gKM/8ihx1OYp6b
XhMKBSDKQttn9wUSyXEGJ+mOyCZlPV03bsunmzBjIOFNhfJqmguXzAtDhswhjZiGC7SpM1/iwqAr
2DK36fLSWJduWd33GG13PRsONRB693Noqd11gyoSVacYgD6gT1OjUR8aLHI7aAYaSStZqd23uo6A
CHgbFbMNej8fEDnqUcur2Tlk8s6v1nNvaBA01wMiK870jzpK0m1RI7yz/MR4efV62QX+HXsc9RfC
vdCHTQljQM1eLJGYYrYkepiHGc/JUdJhPYjRVluvUxKSuYkSzFIDPsDCF4CkGCqw05WtNR91gdqb
5MccaVzIf7inyxERAo9w7aLvNJDb/KM3qQWyh8TBJqQFkNr7RLdmaD2h2I8MZJcrunZj0o7RdsVX
xpyY7bpPijuT5tQWa065netY23dO1cmVxdgEHYYiXt0smzsAyniBs0Q7ZwR/0wNGXZFQFQMK0357
TefuDJsRWY/SP08VfUk1ZBvaMOycTtTKnefJcVuhMtuHIbL4krqEwZcjcb82urulQozR4TukGMTq
xkRqtc5aUfx0S+0nksZr9CnWzpzGYqnbmjMgayb5tsn9WMWM6D0tCtit9tyIYY3fvtxE2JSQ+Xvf
tJLRX5fi3CE8swk33rgkNljoqXWvw0LkMBfJ3ZrrBehHhnyP/IUdGwdEDU2ojKN1RjTeViQ5xvXK
Gvr9PKfxj6gfHKhIBk5G1U/DdvLm6q4G+8EsOcLvSSc4Po9TUd+UZVZ/06JsiUpWBY3HGq8BU6s7
15D2tMm9OjvrBzUfzMTP9kTz9YEWw2zdVFFj39ienG/SSMi7Gur4FoOTi71hksVGzEJsJ1eG61DG
8T4nQHI3NBlHcj1PDgBcFfrhrnnx5VycG3Tmka3mji83YxVZIwp4Enuz87Z8obw3vk+i9C4Nv+/0
tTSd6jg0KUH3tEbHm3BW1VmnENGmWtzumLLzKjIGwQIIvZAhkeRX3ACxe7Fjmxj5gWCBa9vo0mPp
dNWuh/jyXUjqq9VkxOaV8vzuO9xX95ChSHgKlauHq4YYjEd9+UIKo4DpFHsxwUVlfx4nnn0ZF233
BKLUCeCLj4fciYbzUVPZz85OcVLFBj8u6VzhzeDWxa+iJcJhEEgq0IpX8AnByx6MzLQvZIdaWIBD
Qcs5lGRtI2fqt0rr7AerdIst9iWDHjpwwKtKU78zJm/fzMot8SzN3jqK8nmHFzVdpwPZO9R4M0rx
uMCQ0mvTuBFKspOleRqkNYPoWrg6Py9f24PiVIFL3poRtXibqK3nDTy+ey1Hdl92DTmyiNRp3ADV
8pHlZ0b9hLzFYtyJbBVTjAvhyqEy3le+KO6rrKguujk36VRjUKGeL1SIxsGm19lrgdWOGuNcm7bz
b9XlGOJGSPoGyp7HTiNIlHOnt+cUg2BAS8IHxJ7dBR/F/IZSMX2eDKt6SJus+Vb39eTuaw0c4Ipx
QkIkVrXE2hFFSatb68ojTfexXL9KMDMpCNHt5ZgeBrP/HY0eFgXaOxeT75XnFpXtz7LWScAmG2Uj
tOxqrgiKXzHZyPcdjso1ovfqIhtqkO5w/7or2rvRVUoxtErtZXxIW7nBzyiw30pyAnj/f8Hjh9TF
N81f9QAMae9284Ewvv4m02ky2LBTHifZIhRRroG8omC4xKj+xdLqH3bajj+Qv93NPXbVnYusdKOh
KN2nzczOXmvWmlctv4PPBvMZ+6u8dfS8Ldb0sHeC2TCagaFH/hrb4DMrex/Hwr0wM5JJV5ns3bOY
IL+AUMvoBYVtiyVEr1BeaTCLo8m956jD9wQD9o+wIO6xjvwne7LHc50B3J4/xYQJ0nR3dmL/cnNP
Xg9Vp4D2hMNuyEaPyGFLpZe+P4/7QbrcMTIA9jCbJ0l/hZtihe6TO8T2fTJUAIj7JS9KEo42ltRU
Khb+ztGcfWfF5g1nkEc25Ox6qmdxaHDQrrqROXqNdOe58hFp5eh+A62x0itBhi2sRo1TjCmpbsFs
k0M2jOVtCWiYClc7FkXRnXWeKo5hookbt9EjwNHIs4x4sP4YEakQVTrWW9kn0SEkrOS6dKb4Incy
586ucW5i1J7Jo/mellCG46zdF2y326G2ILl2k34Mw16QsgE0oeqyaq9Af9517LirfoIt6vuDvpd5
fx/1RFJOri4OVlSpPeqbH0jl3CCNkMSgwp4ObKRaUFj+cEEp5x5GG09aGzUZ9W9V/um7dEg2eVe/
WLANvrde12NyijDSv1R6murnRt2H594Yphu6JSMPW2ve96Y2qbXmw3O/SnIZmeuqbJppZUlUSbum
nGaOZrHEPaRkfl8WfrkqHOXv42SBldDCusfl/Xua8FDrM6WKbCx50Ofxp+twanByQvUoqjgkNRim
ZgN3QJH4xpJME2ioGw+8/w7zUvFYYBhc2yGROFSF+YZ2x8/WTDCq6CrExcX3VY1j0E/i2eUIMqXz
hSP1IzWUoHNGm0jrPeOn7efjuV05FoMvi0ZKRrpMFBrB4Gvhn1hYzo2ja+axnfw/zWRrjxGv3oNp
ujLeOG3VLNLVKdy0nrGkRzvVXvenHmp1U25EF5FICnPhixHT6VwRFbD/OvyxPTiB5immCLGDWQ6a
JwPG7s1q0GjGJXXFM9nsOY8XX00VT2Yt/6zGFFMHtSgYbb1tHruTM1EnId1QVYQHBQzEigHrtM2j
Ot983uF910TmwqBpEW7rmIiXT4Edeitq2o8GFxZ70f2U2nwy0sG41Dtycj5fyv3gqgwT3S3hAj4r
nvSrDaSoKrdYqmQydJHlXRYImVJy8vASPjih0xt4uD5f9KPrMw2Ec/ThgPmfLuokoWFq5DQHKuMu
mlhtV0LSsuNMan9xfe+SAbiVvNCMMFxoaO9mzxmb/1zXmgwKFVvhKg+1lM3NS88yk44mea7NTa0M
Ooj5HF/2+TR9sf7yVLzt1LO+ZTG/IamMGc3JU6Miu471LGoDr9BowJdcoGjGh8/v5+kIdHk0LZMH
c5GdM2w13z6ak8HnAt2kDLqO1q07xlQRkWuFV7mpz8GsSB8aerJtKkmR/PnSHz0/DF0dU/cZ3oAt
fbu07zBEjExLLk0ShcXWQS6cLo1gV9OJkMZK6KxU3IXbz5f96NW3bJ3anF8WfPCixf9rkmO1vqjc
hGXdJs0PRjE8kMczB5HgqUW3/r95YBEwMGwlhs4Dpfh2uUg2uoFKmeXazrlvzGbP4R9QN+ldX+wy
75hBr7+lj3aBEzgbjX56Q+f5399SzP34s319NlXY/yIoaFpphN2Dg8HOJ7xZf47DpZk00or//O5+
9NASPCtcYVsg9k5H6plrdfMY6RLsSGQfHVjql3XEFvv5Kh/tAvyEy/hKZ/B5Cg+0Qe70dsHW87oL
DIRjA09QExaHtP5iw/nogmx8UZ6Np4QR4/JX+etxyaa+RNIzsqGODUz/sfohvOrH55fz1RonO2ni
oFPlQy0Dw+wuZyH3tld8BfRafvzT3YTnj/AIHkXHffdw+Kk3SrOTQU3tehn1unkw8YWs52FMvsUa
OwwOTH3JG4Lwb2Fmhk/21Y72/tWzYC4yQuH98xdS8Nt7ifoTd3Tlk3iH+WDVVZ1Yj0bWXORairGx
9svNf72vrAcY2aeOWmQOJ+9ew7HKUzCNgqKcKFCEOhIs4X5RSrx/Fi1m6ATr0No14QCcLOJHRI3K
LG8CkqII/airBGX5cOGmzDI+v5wPVuIiPMcFkg62yT15TPw2SWal0HCytSF+1NpzS7n3tUwfP1/n
g5/JcG1Thwe2VEf2snH/9cijaMwsX7pVMCf6VubPmpcTYFwuftLD5yu9T9/xiPr5a6kTfRc9KrGA
aSAhDT6Ne+jBq2J0O+h//gBxaijnB1SxxZ7Yo1BuGrvzNrrEcic4sm672ey2KdPfvdnSRiukRQO8
sPGzOl5aHzprgqMxxvNlmHMOtJvSwgvPtIhzVbfNzS7tDi66wqux6ulgK7CEa9pshF2IZP7iQu1T
uc3rF5y5ns4LYIDmOdmbyanTLB+vDYSxuHsio1q/MgbvVgmRPBdzT6ZWnjM/zTFagvLcIQCmZzKJ
MwH2KEFvvDYatF5m/1CEHIw6EUMxKW7r0bucQxpLRZU1sKBH+o0JkZehTC1s5iPWGzmQYKileAwm
u7IDZtsYJToQZKyTbmjhuReZjZYhzQDYT+zXGz8a17NLnrDNBuNzt0ziA/y51V/cxbf6+RPwwbNm
gitFwcE3i5L/5FkLcZBQfSjuS0qC42DgCOJXn4IolXgPJtxYwecLvi94MEC5tu2gp0RYd1rwgFwZ
hrEuqsD3Ohw6SVVsG8D6F8Kqu33oRd1FTOv1nuSb6PzzlT94fanm9CVpy8M1ePr6ykgNWtyLEjia
Ut8GMRo/SCA27uFwpr8/X+qDi0TgwW5Er4N/nZaOzEU5b6oe6vogmYrAq5G0a8lLhKQjz0SbJd66
ZcCOIhXjy3/fpqirLBSEWHqpoE8edTeLQL9WZRm0YZXsm7G8j6YFFJcq+Z/LAHvZpJDJcZjznVMF
HT0gzA2IxwOISk9KlePG9EiKxj5j/efHlHIDwRTCKE4f73CYNQlUfTT0ObqCftzMgsarlV5jLhRw
zcWvz3+99w8Kzk0uzDQQ2SHnOPmiRElel3becFlOYQVajcGRGSIznTa3sq+Ave9fQBajtKE0wHpq
nn6+GrQhsegLrkyz72NLe4K+9SudrHv8zl/UIMu7/LYEYSmOpYJLY88/1dYSKZuoUkOIAXVta9Er
9Sv8rG4+4J9bYEW5+VU1+vGKuBKQsS0v3ennxa5dD95iFjTGcMj8+rlSxr0lswaYgcjJGTMv/vtP
R+ENMpOqgxWXu/3Xp9MBJg1c0M0Cre8PKh8C287I59W/WOZ9wWiTtsDR0Fr4ueZpQ2Hw9ClJ+KMD
IpIX3iWhL/XEF/Hzi3m/i7CKoVNsQKoleeLkRQYANBGCa2SBtOho0enBMt//cUtxTJuOgbo3ry3k
oZ8var7/UrIqGwdOaAfw7CnOlUhUACcxzQTfAdM55j5tuLLOoGj4TOnnkiF2q8iyw0NoZzFuWr9m
7IU1t5ua6CxnjrwjKRiFuNPcwhkAnlrXFAdLWdAsjBVkceLBN2HYAjxzvvjbf/jDLJHjDANBIp3+
MEgS4pzJRh7QnS63qfLTgzbR5/z8Hn20QWBVZ88jBQBLz8kGUdiYOMqoyoOyc0mXqYZAz4x7z+2+
qlo+eGEdX1Dbsg8JzrAnT7ObW2XdlGxEU20hZAnjs0no0+7zq/loB0LdTxvO41DOvXu7ygyVfcId
myEeAtgzuHym4JuBDGnzlyElsebz5T66eVwS1gKU5TpsibfLgfYUJGLxiqos/LXcO5mIYyHDp8+X
+ejlWUIlXSS5HAxOH+OpJS98rnh58gQvfqYMRmyh84thS7WTkeP9HHMA4nQL2y8+VR/teShiberq
V233ycNB61SPLXvIgohgt67UAMREuzp9rNP5ju36i9U+euA59pg87Jws3zXJYL0iIYXMGNSIxPcF
STPH0QQ69/nNfIejBu+ucxNdAA6Ghcz5ZF/1e3Pq8XBmi/lNf0xivdoRRI4eLbWGnNmcOz6kWBLW
fdUN1w2emCsnd6197KHpnGF0MVgmmtdoQGiCn0GP0ffpV6db48M7D9xheTMtQlhPXhcZtrqD8Zyv
zWQzJuiaZ6PzK7JdvPYscb0ngtHrtUvy9EVeWsljNg7tWehXP2IUHbNY4HIjpnG6SP5KKK0mUpDr
+PxGfvCuMdOmBAU2QXPx9IOYu/wdkolyeyznX/VsdDu9RkwZ5uhX1PPna31wO4xXjbGzNGqput++
aCZwXd0G9hjMofFLp+GwKRz9uVVEF7t+uYQni+6LCuODl84wmNhR0fDFeldiDzJXk4wqLi91vsVJ
BGwY1Q5zDDmvLOBzD40cmw1qjCH479dKpAX4ASobAzDI22u1CQFPpIdtiLPaFQgzSVc6P9KNh9uQ
RY/Kc6LV5yt+9EtSstEGgJvgs5W9XZF3Bcad3VSBpkf4xI0BVUJpdccRpmtQCA7Sn6/3wbbJBVJD
YY+iX/v6hv5V2RShtOMESkmAB5LJhS3Hjd5UzcZCEfu/WYqwK8sTFIykEby9tNq1kw7feBUYflXe
EFgJjM7txHnSG8YX29dHz6jFC7X4EJZO/8kzOiCJK2c6A0Fb9PdAi/GHN/d5y++XRM3Rg9n5378+
bBC6aZKzwKTm9AU0JmZtZjuXwWzOaPzc8Vb2clPTB/hioQ82ZlrqBGJZdJ6xcSy/51+/Vz0DI9ND
joB55DxF07T35ub+i0fC4s84KejfrHG6K2tplto2ayDoN4i9SuoDBG7n1uwJzArzseUu6pCfRlkT
ppBGD9UoyQh0mNX2xN/R/OtRQ5bAJiritLbwEoztCFsuSKxOHmbbjo+mH5GJpwBQhbVe7osWcRan
W7VGBhuexXBcglmfYLEZC6w9ZXx/O/sFYqvSABdcFa3c60MT+q95CteE3lEdVgv7kkzV63hy470h
W3WWO0g0BwsX34CzOPAy/z6psnbNHc52Bb0iuYoRCgaIE4tVNc71NuxjB7FwNl5UtpUAcU/73ee3
96Nnk6+4a/CcWEsI09tfELJz0ynBs4lM+LmZumfcaNe2pe2sArKNRtLr5+t99IZTc1Ps0b5nIHSy
nhOrssERXwZElS09p6vRzM7GrvyieH0/VlsCnRhs0cukTeefLANPOYYz4JcBIvJjXScSzaD3s8ke
GEJfIkhZ9475I5LlF0cm6+N16dJyRzlcnxZkfg3lvx4deiKVmr/Fk45LSNraEaOLnm/RzHDGaZwC
3Go2NJucYG+G2yUbeWMOZw4qfycdtTNL77Wd0dnlOkQYygNX75l3MsH20xfHIMx1nJACQtyONn6H
XTIhcXgTGeGdmYEp9WanWQF2szOgadDHUv4+kG3r33g+jJv0NQh0gjCGo4v/vpidddx26dYFzfrY
WM5XP8VHvzhGUcPF/8dGYSy37K89ItFbpyizoQzIR1BMl1ZqJMrNwNn++ZP10V701zqnhdFQD0Ve
QfUP4FeROkm/YU0s+vbzRT76IMLP4rRKVtYSuvT2YvTGrKsGKn3A0Am81UJk08nozUgvjlv1hens
w8XoV3Jm8XG3nR4ihGQzKnPeFS2GorBwYYGZ71CAoqXuki9u30cbgaDtz9cCy9674jdXyhIpKiqM
ovJotq4ADaGeqlz+7hI0C7H44k4aHz0Xy8ybAywSAiIQ397Kua1z7i91WjrlwJJn0zh4sxzPTHrx
m8rS4sCuG4CWtW/dJnoYB5DG2n1E5tilF3nZ/7B3Jst1I9mW/ZVnNUcY+mZQEwC3ZSuKoihNYBQl
ogfc0Tu+/i0wMtJClCpoWePMQViGQtLlBbw5zT5r7wNYBJ+YbWVHQfWGyP/Pb/q3Px4HImUk6re0
r3/+8eYl6bUyI8yZpfjBUDNImeljZaEj+f/4HA82GxGlu43M/fw5/aSpTKDHO5KJCqo5w1OjtDlu
x+6di/R3Yevm3EWJZfuH92YfWnPABAfay+PAzEjWI3Gdmw9d62Cqa9xUrbyvq+CdQsXvFvDfPvJt
wFqsNowfR6+P2rwcsLz+EdgV4nb33LXTOzmH9bv1u/kMUovGTZBa0s/PcdiModfFqzlmTPUVvMzL
nAduBOnbjyjfptGGP41qTuRdLrdZA83YlJkQknrI7Z9tiiqfEwm0fzSZWGCqjTmjbOg+pmuAu1lT
VVGd9P5+8Wb/wXc4NeH19wimtH6JV9gKx7U1X/TZZJwF3Osi9K9FO14jxRE7nJJ/5P40h7WycgBQ
yvwoEF1z2ZvOO6vpd08h2CZ1KXGwbt82YKtK9H3DfMJxFetpHVYjHHT7M2zMC2qmn4dcze984O9e
8TaZhVDGo9j69rGLwkiVJBg65hKk6iTGTuxf4atWCjs87DdN+j9vmF85hr6NYsbkC7JdSDPfvOlU
UxVd0qo+uvUaRNk8uh/tzJiixlLORdZW1QN2D2BWwR8wd0Xnwc8gzdbjCnsfSd9Bm3EOeecx/Oa5
E2xsI9B4X5JOvEmUAlf5YJ6t6ogzDlybTrlXTUbYqIq2/wz3aD2ii/z2zoP4TRETVQJVn+3U9n7J
fWHhrSKZ2NH9miBltVJ7jyDV2vcJTAUs5ayQlYJy0sHlJe2ySNGTYfLCfs9pzfrNWbnNhSPHAHFA
o838ee/pSCOAzuQ1c8sFlOjXuYbcguyLtrpxLngy3mkoUCMzYoUJQ0UR2dBq+qjgkqfb2Zr1vVIJ
NN1X+8xh1R8Ji5tDNrOkmJgqgdQEzgFJ/g+FGJsje9rZbpHt0ArbMUjJ4Zi50tst2ejFfnphwgf8
WFrNcsO2ZQhNsRE+Z/4YnCvd+6LjefBOYv67708HjBl0b+vQvy0cUW4rqn6w+P5VuXzEhQktqrvk
n3OQHft/fum/+yiE12gNmEbn2nhza9J0krLeriU8lrJYSH+b5ltEeQ6yKv38z5/1+t7epF6kBZs+
jCImHdQ3q7rR3GoEC0FyAIcGSy4axgx7wes5JKKdsJCqjAuj1ZPbYTHna9PU0g/moIFltioBHgla
9esP9F98wzv4BmpM/0ynvcva7z/+59RXT833v1Mc/vUH/yLUGn/ANjINFiiHp0/f4+8Uh62TgGAG
ieVPEAcTH16Dbe1u5V7KXSzIvyAO/HVgekDCgBx0/hOAAwIFToifV9q2fajuImAL6Dm9OUEkhgNd
HQQUmhgPI+HJWnjq5gCFyA/QJpjO41xP0xVcgTzEc+CReoN20mfvmokQHKLqNStj0dv1h2Cqm1uS
rQcH8GYeikoW+9aGerKOGkOPhocDjtK8faEYOPCBMAL1LyEDkhgtc/fEXNkV7tNXljYfEga446Fz
gohNgM30NGIa1eUvoz7m1zXPMZKeaPDmbmWoa/7KBIY5h7m+XrSBfusajB5CN3pqFxx8HOaZlE3x
AKbhCyMbeBSRBW+hwrVnLYc5R3yBZfhLUDZXszHdJUxzUOsY97ZZXo1qvbULdaGn/K6u0MIly5+U
wEOjleuzM5TnajI2ysKjZLKtrRIkJnVmEc7YRwqGbjjrgCdb3F+w7vGvjcF6LKfqydNXg2xivtPB
aG1PYKjhWttl9VKIBss52Ll7q1It/jzA4scUYf80T/cM69z5zeJGlNIR2VfB85wA5TaYPEDmfVGO
ZntaOXchyvQ8GJj5GAycTdqg0VIu93ji3s3Cfsys8pwu1VMni6d2da49EnZYNHa/s/lCM/4kiEZv
7Yp3paxhLwOG0LRtaJPh93AZMmaLTUiUZsuDMrOOUpDTMX5m6pQVymCIRm0CKiNytUu17Vlm9dNo
EP7oipH+YWZqbfssfFDUDmeE27nXbwdzPozZemH4KRDbSb8QHrBW+jgvVsVvc4z8qiyXC5OXc/QZ
fQkLJrgYOlMPazKg3R3cKs7pH8ZlzwdNsK/iLLDXy84pzpQDHjpbJiAklvtaZ04bJQFZKnNfCBie
mmkOUAstz367XkxmCpo16/LrUnqP+aJ/86V1E8y5EaHn2CtzOK7O2NEBmO5X6RwpiQ0sVOuY1rwj
jMeqqMRliIH89cJl9H43z7zPAL3zOfBYCQuDqKE0awvXI/2hSY3nwIL2BwGvCQdgYoY33ctuvLeX
6qVGnh/pbjvEINXurQQPtDIfMF0yW7DDrpZFhpHnoDF57kbDZGtgP7ayKfau7VwzwObth+3P8T25
pjyWImOzudep4za8EWrGci1M5l+KhGvDg33KdZ5MHyyXZVctaRIpaeNCFwzTUXpqornqTKe+dv3T
MmnaTZmpCstAUd80KBiwN6wmTBVkH5laZT0PRv9VTR3D+D7OgayadmM8Q3YWRQwQ1oq9cp2fEnDw
WpgK2AAHlOzNAzSyh3rR3DFeGfeFmW/mEbzTa7spv3aMEUYlIIIlc5E1WnksmJTcbWgMI+7obxZh
TnPg7LeAp11PXldadttgu7ZDBfvQavA6+9FxdtPoPMH86J6bhoFMfE4JZlwZ+h4DqWIN3H2d12Ns
KjxijMEZwpQWKQA187k1WqwpKTLB0NQjdzGNPfRZ3ptiCxDiMrqWGHq8IJu9gXs1HhaTRQdh+dHT
3OvRlDNWVN0LlFWkiuU7rdxfkwE6xehy7a2LRlC6/fe/l3oK18bbsGyP9qQx/zSSvgMOu84ZlaI9
474Tc/8aCgVEJ+irELoBanibB0DtHxtXec0xZavHjVGeTQbLQxc6wzuf9GvqTGeJcIsP26oBb7Oq
2fMWqyDkOZpD+RRs1hnbcVwYMw5sCAXaE/9PfyfQ+7WSyGduAi5EM0zlvhV5pFYD6RH7wKManGyH
w8I9xo5VhK/OcdZwJ9y+L4K/i67ndPvnuM/6teTOZ9OSR6pPofaXtg8gLrgHyt8aFp0VF23t36rE
zbbj4qJoi/LI7Mzz3EPeob04nYupZ98GKB+B+z5nlOXTZr1AysSty4xkEOBCWowQHvz5YnY5vn3X
FFGJK6Nsiyugn/vame7gGD7okBJidwHX7ldatLTk6Q5U0y8psqzI9jke/vmb/mYJUZnU6ZMgF/o1
ezWrPKhb026Omdnv7Va/ZbDytl67d6Xkv3uir01lz9k03r/kh7PhL8RdrNWgsk/w3G+Vkds7zGOs
sHGDgrkkUJapUX8AiXnrDXr9IduwdPaavsiJc3kLVYrNvdMwl4tUw3cQauE9NkHXVjfRgua4d0QO
oi/NADMynfOYOqY61Kkpdkuu8otR7/q7plwYQeTaH83cPg+5X++w1Wkv7CZ/SXIHAmtZ8RYXvz0s
WvGStOuGXQYI2HN5C+uYKeeYZU2O0RDzbJZYLkoPPpA5rreeYg4dXg78Vl/72jmlijxw+e8szd+c
MDQjmXI0KGKZ2Bf/fMJgFk35VbOob8zQBwgnFk42h/pZqM3WO1ndlkr9HJMGlsNMDm8LwNgvQvLO
VHCRcZI8OuV0Z/f5Gf3rOwfmawb15jMoJqOt2v5J6eBNOpdnIKorXW+ObTCJfZ8zCm8n6/N20uer
xaAgDipMCh8DzbyekyDbeU2F2Cf53BfFN3xHMBtFfRn6VWEdp4JLPAs4nYSqrwwjfVkBqENXydGH
WO4aFg7NhFFf+8sqd3eTLz75A7/s9j4WBCrfEC/ELaj7sQNk6HVvdubm1iTNw7jgmKCb+YvTsASZ
vb3CBu5cOkxe+W5BgGrMRL8GhmJNhhemPty1jZntbGt9p6Jo/2bH8i5IRcm16Tm+7R/hozJgxoO7
n1GRKExZDctnGIngtZLvjLEKNQWniCvlX9cOdKak73RmE2sgHqzlpGx2uEuN+zmB1DC4RhuPmf4I
vdWKGVwCazm518lI8XtMnOssMIvY6TiJBG7cMWM7D7o5PyNSDuEHfVwsokMgYgxda/i/ZfqDIhAL
RZKJg1XNB/hHd6njglvqWJ82A5oQ7akCwsOAs4UD4MF01odAdNM7rvO/2SQbqI7/vXaB35Zj5lR6
wKbpuMx+ExPiwEKb+XFsHWsg8Z7gmP78r/uEciu9bcpfW/n1zZ6UtqWY0qFB25m4XBiw+MHSFOeE
myoweD9ry5JcFQnSZHJMAQx6zNMKNg0B4NgCQW6bQOAqPMld4K4UhailwNr1v/WlcalN/k0VYO4B
xLgIl6a1Ykv0z3Wx3i2VuqjxVQu3ZZZa5RMGjESpM7i1Vb/CYiIultYESAW8B+zyfuCVvqaXq71Y
ce7wG/GjPLvawJ8Q87QXyTiE1TogQPOX29ckKGmWNoZc3Z6bcb7PqTLHPtLjaJWkes4633cDs77K
DsLAmu7N0rjFhulsbcbdhjfGeVOqePs/Ws2vJNO2IMUIsM7GLmHbRv3iYGc132MtSALhlBr7SWhR
JYmW9KS4WmSJ1ZDgd3ea8yhhvWy+F/IycJbnbhjieeQB40hxBZW13mwWuTIq+7HIprvZsl0MYp3j
1NS4BRfntZYyRCBO+jNUZ5LiA3qLhu75xMJkd7jzcFUZzlfYXs25NJxrvChiC918tCVGC0xgoB2Q
8SgFX1eD/Wh2+Xv3sfub7U2ss2kyHXp5TAz+fL5XyiokbGBKmp56bvrpDs3lNfEFD89hW2/x12uq
3Q6BsR8CIr3XPd9kw17N/RzKgj8mMWIuB8Q/QRnE/tRZHpPT6FfotCEHXkZ1rIweBnaOGSjuVzlD
SVX6jLV3cCUYS4/XlHtxWLPgsuEsZ0zBujY1zphiUA+TRbildxaAOz1n3CEdYPT5RNYpiSH3YWYx
mlOkhNleMd4PEycoA1F3HZCJiNnnq2kc72yMVXFDgHCL46AVy3m9wAnuHgY4nBxDW0OnVc9uj7Vt
J4Y7iCPFsczd64lLhCRzvLfgGW3R/OD9db/+t8L2XoUNkRg1/X/DOuOn4el/fjRDPqjrp/rH//0/
V0/4f76trv35h/6qrjl/QL7YRi90BBvIbziW/2KkYvLEiga/S0jtb8WyvxipVvAHMxTUjgN7a45z
jP67vGZ5fxB4IGBAzmh79Jus/6TE9vZOCDYR6jZ9i+SJRvzbunGjg7yssxK0aGo4K0eR3VwyMaE+
1cYChIgAO/rb47n9M4b5O1T7bfTEB+I25RNV85P/qtnENzobtNVVx2WhoaxrE/Qsd34Ppf02S+JT
CAa36XCH5sMv7acBLfwknWwhS4InNJuL/FC23QTfz8bRQpur0OgRkdmy0O76Gfeof/6STvD28tva
tuSEDBv6Ju/4rdBkHBUmO8objuxnwNwLk2D7ysuADRJXXi5Ups4LHIz+AGkEXxiBy/bmYp3Ti+zJ
bD9iBG6kYYtdL7KUDEZyiuMFfj9zSZ2n5PfCV6rryKo0zHcWAX4PVl+PSR5QC/WCdqe8swofJ3iA
P8fMdnDY81x5RiMrH+H1qUMy1RDaRGooNEWS7kGIpHE96nIx7pl6FdcdFsj3wESX28GCxjq7vXiC
UZ3rkFQm9ZKBlt9PTTU9VGOjDn2xNJeJQdAP+wofiLk1Gxx+dASmOU44RqrzB+clDy57shCiATe5
CyavHuKpF3p74lFtIHHCe4PagG1bB5P7Bzc/r4cOCwDqXrWKK29psxsH9gnCJyyBYBjheyy8vPvQ
VpOVIuAGg1IMHoa6LrN3KwYzSH3qObaSvDtTg5Qf8OtMzgy9LQdXGtVJMsi3I7SdHgqMeB9ksbof
eTvmjnDO3DUmKfXoLvJZtTP7waOfmM+N+sRoePuFmJk3I+loHN0NYOvNhOXW0ASXrqHlRykz9TJD
oPoEvlp9UnrXf3ZBoFwmS2qfoGIZ9yMm5Z+LYW4ut6T2sq5pF8ZBIe0itGv4OKE7rjpD/viw9IL6
7dxM5q6VZnkn3AyejJGCwjDb7tlO+Ne0JEiPUsij6RHzcXAu9iifl57t7GuDOrj5WJ1an5erPDHH
y1jgEIujUgc5yO2rkwD7hjbIKSE3ErpqRlLepQzJYtaeyWvKRliUBen0o9SVHjag7FCn6TqHhtF+
zRc5PSAoXq8COfFXWZk6iJrukLHwjYNZE9dJuW12TTo3WqpPkR3wXVy7CMIhyGrqqSVLccJ+7YdR
5uqgctO+SW3eRMJ4Zmg3QsU1ZY4ag8OR51piP+pV2NQt0E2KeMD9qgFelCR3Ls4oz4QS61UzZ+qT
SavqgGkRmK9Olnu82IfveuEa9zmGijHpNF61Gs+2T3mPxbg96m2JVg2etqrj26+QhHDKWHkTNnXT
g22w/jsGwL5UqZecq778MkOtP2d5V9+k/gvGy/oU5lpNaaRPavOU9c5XHQXwowkW5iE1WZtbYpLj
WIUmwLarr3biTT8GG2sXoPssys0Sc8l4Ua6nDXsK9uJG1JZ9EwyzczOqxLhv8l58GR23/QoWitVK
zXLfmUn71YLVclFAPP24+MrHLLTAdxOHi/YpxZqSQVpLaTQggjJ+/XJ+xibAXUK7W5RohnjJi/UK
HWT/WSB0uVPYutHeoGkfGYMBx7Eq4PfPen4cWtMj106W/ACHsHtGtqPzmupy9GD3+PLRoN5+CZMT
zyjXtOT14IJOND8jbzRK98vU4vzynHej/SWHeVSmx8laGxoTw6o1OzpF83il5Jw4Z0xpRvsO6iH8
O7zRPhlgN6PWHbMmNHAdi6Vc3T3r0MEyG9lrE7bLwNE0NtdjG5gh7K3gbGvl7aD32odWr+40Z7y2
a1HvoTM5H1ZMc0OHSt5156QfEyfBNYEaMFlfekzNNTvVZvmpZzRgN1Yo+EdbfaM+Mu7safyOO1V9
0pr0WY12dspWFNeNMYrLtp7mXeVMS4QEafhu0A/YpXl/sQwy2TPPb8DDJAY1VAd52HNSxoTS/Npe
bWyXAzGpqAPU5xb+WSuFjPNKNmsogkSemGyDA6At+KHrqRPWeYnqr66ql1Ssg4+6tfHAFtsqCuzm
TjVevjNrLbgo4ONeIYKdYUKxYYEqGhe5ggQxBuT4K8LVyDQm/aQ32nSsPZogYrD8XTtrZiQsn23Z
bBBhnT6TqdX6xezkwXFMjY9WnQSU9L3+0mgCq9qZPPvnXsyzGzkIP5gNXnmHtPYp1APL8/auMX9t
IHRfjj1O7Y2pj0xJBwY6xMCFwJe4MlZJ/2y183hInZQ7jwvc38Nqm8LMZHS6aFx5xwCEERpD2e+Z
i8zwjSqx8Qr85avvTIxQW3RjmmWD91Rl+QUOUOtREnfVIcgnfMaZGfHjwPGZ35psiwjRQm1NCru3
R8fyTij5TD1WHCLgRkth9qFgX13ZVY9/1JpAlqWZemIqqY+tLGNX9TuMdWXYIGkK1WA4Z7wMl08r
plN05SBZIfM+zlVsTVp7Njp3fRKV7qBnq9d7UYgW4GUfHJfVCU71mKjbvLTWeEpGeS5rYUeuWcFT
cssprOa03PW2ZX/wekScbbLN9aQdrEFd+HupTaiYwXSHM9aJsR1YxaPn0uv0dTXv7UTBPQsmbS/h
BNO1o6JoaNzluT6f8txarJDZ5DjVUgzj/NQ4VDkr3rXa7ORPS7IL5sS+atHW4YuDX1m9GZcZclVn
9epmZr86m8nN5MxO5TWAD+8yWCBLRPa8uaFVTGYyBpeVm+eWcRLomWWUZ253UW1mauOrr5rnbB5r
5ma3lr06r+HNpP8QsLqq2Gbyb4n1Qp9Oq5RBJGqtO2DL4eAzMuY5Uiv83+whpQRgFa5+ZfT2hMbd
aIzU+QJtS4dJVPZA6tqGOS9twYhysyT61hZGGw3VvMUFQn4AalXFLkPg7Q4Cbn6hYUxVhrD/Co/l
V2cnCBXdZSB7nKvwisTXa26dHASgn/RRkbfOjTKT/IiJqPhmCryRo06ocns3GP9uIVJRWNxDTC4B
BO+by8BMHA5nMXz382TGnWpGpIKZXc+Fw3y9ekGpgt200pI7ga6XPVASJniJTgs6dTa74YzirsyE
c7MCeL3TWiH4urmV7ccyp0aQorWOaoK8LLbdBbsfMaIfzzZLOmPldgY8IM9/Bl8yN417cIz9d3z+
Cj82nYzvZ1CRokWmlLkjDHU/LqUkLNsCRtCxk13GRWZWJ6SxzWUFW/Vo6/0c1+3MYdwVlGZqQaMp
zpyey52iunbXpMH4kGN/dpPWRBoN1bjrdH39KQL5aGkbODiRcjuU11q9UKHxw5z+ZIW7tTRuOQab
7xbGkIDwUnfi1p44KvEtSzZLQS61XqhDZmj4Z+WYWoeG1Pwm0utOHdLapVk+FXx/zJvidCOutQRb
X5jkrqNebeEvfJ4v3rBUJ7PnKyCdYrSxXtSLr0ROrSNpd02RBxjezzCjFWICM2yxOTqVZiDfmSf6
pYC25RAGY2ebOy/ckrf1us4MyjZNtYFGlinPCSLJLRz2mkgWsoN5vYX3lvTjiRfztVcdWMa54WGP
g/NeQmO8bXVtP8v2k+ARjKH5L7ytscVdF5/q4WjnRP4RkB/nxnMHc5figXhGwqBTYubJUvaiCJEC
Nih6B5Tn0H5Nk4aF2Vjy3FuTumhmIR/H0bZv4K4vn2Yi7v0/Z1+/KAG3H3ajHTFVw/zjL5wu9FGl
N2lWf9RySw+nvnE/KsFG040iu9FGVh1XEQvMmFjx4LjhenBPnUuKek+FIG72wF2/U3x9VTz+vaSP
fMVBzYyCGjX1b9ykAPOZQQ5Rq64taUVMBW3UuVFerrM2HbpuzGKO5nWnkHJl+LQSQRWC5NXLtm3K
TOVdMdvyDLQEk47Eab+LvPI++G4KTnDA6iDROgQncnDem3+kXPumksu0KkOW22Q5HPFtPOPn6puD
REZUCgzRAl4xUl4uip2sA7Vv1cLplMM+CPD8eplMhRueb6V7zTCfwKB8hn5tMc5BuKQ5cxqPsC+u
ps60v0wCdC2tjPJC12vrq8k09QKsSTTTBZRY/5Rgvhbrdg5FfWFD1xwl9MiwM9ANHCK7pSZererg
kgBy3TeLpS6YEJvjTkJIaLcThsqzdjelnftRczz1UvupDrKtsW0ttHrOWJhrxL1zW53GkQMsS1pi
dpJl8pK05Det9rZCOojvUCS3WH1pVvkBL7PtTAFkiSCGgD6oES7aeo7U1CrFzlwScV0yxHZZjJIY
1KDkALV8ekhXLYVj4pgVUgE8os9DtXrTpUzmlIeU5ylXUj8sOyelXxCNAudlCKlWMQIFxjpD6+14
K6WbD22CJUIv8c4+ee5apaeSkCZO1u0XEgL6JNZ7FFtRkjNSPTF5ilE1MwQ9fE4L90N7Jqbv9Kxo
4iTJ+MZpE2DDySGMy8BCKO8tAOY1RZBPOq3DDSMR6X27/6wD942guDpR72jwp+tAMBXfkbj5mS2+
qWIs910+5IdxIrrSy5kVuQ4kFFnjjg9DXn31MAaP1sUQX/y5QiHRqXwiqeTZBRss9LyuPHwuHe0O
cqp1Mrg4PpTWlB8SJqabyHeG6jQ4fvuEP3L7ZCuD2NCsTDNk25Z7C//mWzJR/1JJHTzyTNLvVk3/
uanJZRZ4sThncxoNW27XZEEVZfUwzXRSq2UKgWyNe2NN6xOsc7KWxrNCYifvQ21144NujObObMz2
yempdoO4UhfCIHuOu2blBhhao/9sFhSUpKwE9dccvU1ic5oMSePHlj+QGSW2DbKydVb2SK+PuMYs
Bv9x0Ff53G4u1369ViH0f3yPc3s9Mqkiz1JIqnImkvVwCbYrNKPDsXeURwGoNuUjsAH/0pgps2DH
EVymhujOOdqHSzflwaHqVwesX52o9ZvpgWED0vtZ5Qd/qwAxCyCu65L6kJeTJiP7X198dum6y/1V
fCnd+nZaPPFtGAfSbd1Jb4zGBhg9Z8yA2PyljbYFzttPvdgBRSyfEc0Og8HtHVhzdTK2rbps57te
lnMsKJZ8deSCqU+HqWNYoIrfjVNOZWRLXtEzkcBniy0/6E3Hm2kLQpHXu1g0KSZs1HqQkTG3mW1B
L3UdCwgshVW+XeWpizXFQmGZqK69LkOEawQSaYO/xzJq6spOqXhYvZIfXis+jcXygfZURS6c9hBo
fXUCzZ4fK5uAisq9fzkmWLK/lge0VOMxAD7wIgqOPPqtkLfm+FSUgoLQnGUvnb+qq5Xt1kSLSglG
5s0gx0+pXuliKe+kYMgQtVlJRwhuDrPiGBLIEYY79HhecTrr1WnBtyNkMgZr9HRlCzK2RAkOhQXl
v1J3IjFq7S4oWIJYRRjzrsGRJYJ1ickLfpofCXj0busl9p9RVVMRBJEvH1fLplDmDLN8BsZp7np9
UJ8a4NJhYnbVSduKK0hpONbI6JPza6UGZqC+SQuaLmrWnL+ppsOylytHnGXw8a/1m9dLcsHDkeIK
vvSYk//Q9XULlz2N11fVBEuyZ4Txz6WZU7oUNqWhpjWSO92omkvRmmUsHQzn/aGXj61BDc3oU2pq
DMg3lzPQlpvJJtOKUh2L7U4z++9txdD6khLsdLoMLmePc7adMx5h5sjuWcepB3BuORoQqWpKOS7h
+VCwp7f1LLvtGAYN1F/gyUtFMsg9Yt6y449ziaqLHFnIfbZVvYlLtluABO2r4bMk7HXsv48yaZ8w
+E1vvFFQNuq29QMeHN43dcjK5eskW/XrNbz1Ayqk8NTLu3qeqCLZXJMuWqL717vBGCgBj36a3eBx
vdWdKKJOmmPfeK+6xGAO/EsZEIZIVZr3c4e+LKhxEsERvTrZpMNR5hbGvXBRGuUjLxLIZXVSld5c
4uTUXDomQSxG9O0uIzz80jNWTN+InmtczwanmZ1OD2omTBYl9Tm9rcx7rW44bDnHHvF/EF+A1CRn
6hdu9FoSnAaKlj4mCue0yWZ6qISfPaeJiEhzyj1GjqyQdiE4GUh2ajY25GaLKij+3k2k9Kn9Wpka
BeqZmrGFMfbRHgicLbCisUlxecdlz+J5PWYXj6dB5UhddK2dfiarVyJUZr3lE/1CFaqzltuOos0n
4RG1a+um26QtycPUOd6yiX1UBha3ljsJcjyLtabpyd0yUy8zq6XOT43tyPMsKoqI21EJEsnc0XUr
b/DKonXn5g5VLxx0LBlwP2SUTNiTHdVpsCfqCjiKcW9Jb/yBb/RyGPjRQ2zF2bh5QBIiqlZ8QyRF
yCH7tToVDZssF3l2g43O12lyeGpoVqyT6WdslankGaD3IBuaZvlIVFLY4bgomPHwuAPiltHJr2ds
X4xwloQTbZsQQapJxdPIC1c+hJrSpKT++q+vG1PVBVeMZozdszNzpwoulVOzDsst3k9qX2cFvca5
ZUPnRJWp53DIoOZPb8AWMcS0Ovl6JdyVjGz2FDZs5ctor627y3oS2NdCsdfDJ8dH6m7eogC1YPge
C3MdDxQS+MZ0OqsCerNvf1m7lO7p1okZKKjsRsfjw8p29M9DghP7a/T/31ble61KRn5otv2/W5XX
Lb4B/xM/le3w9NMwwJ9/8F/tysD9wwF+oSN9I1+BJ0Fr7V/tSuAdtDJdhPgorBBbbZ3Mvzwdgz9Q
bLvbNKoOXItu5r/7lbaDRyRWBfg4/en2aPwn/Urb+7m1xxgA4CnUj+aGnvDRzpk/JyPEMKJ3F8+8
XHXHTtcDUHI1JDFFOebo+iuq4cFO1Chdwsl3CrSzyEC+aKh4qXHmxrGfhHaZMMqwU1Kr90yptfjU
rf1VmyL3Izg/+3L2Ypt65EU7NtpH2fQCQHqqXaCLo1Nn1+5HNFLLJ+rqAzL/ttAOhpCUYftCRm5P
XYC/z9ibUuZNGGAMeSgkeEN+bgqVTkrPPrtyrbo7M1mDXFcmH7CxuVmQx9D1pcVQC+MocQBADumX
kVe5Z8NO4gTraZoV8vvoGHM8FqKPUHhRYbQadZV0abqbB/S9k/6caW4eyqrHpAaA1l7p63pwWklp
GlMTEOfNZ06Ogn5SSdmswlVk6W5wybF3mH8MT6gSLDqVtR8JR0DSrV0+v8ZCiSdlx0PjB0fVj/md
l2YtqgQKWYK8ln6fIuYRYjoyHnDTqUCPZI//Wo07XTgytEeWBMYpoxsep7nmhPNmjDi1VX8uc+8q
M4IkNKz6LqBZtwNidgjq8ShsVDwJtPRQBUSWNhlJbCY63oSFEYEMeHAGauXTsH0JUaJ1H8mpKzWm
Uedo7q7yx291H8TWstRnQXB3IZCmRJYJUXr19hqou72zAnonIdNCoAMeM/juMUiC86BaPfJLU4Q5
mP8H5jPbkOl7Z9e3gnBpXJY9N2gQUnPFWKjNinuvYLKyJ+eKPY8h+n4xnL2Je3PcL7qNXwYiSsdP
D8uIbYu0XHsXGMVXsQj7ggLVSTVJTe5jyXikL41RWHrIrNHbPCbAAVTarizkfdu7D/6yXhbm7OHP
5tp7rQGSauhrdvBE/bQ6xVdKNPahoMCO3828GYIU2lmawQ971eiRTYETsyaAjCyhO7Mk/C4FvlPg
fpIizDS3Nk+ZDtHkG2uEpZdOkd05SbMwvip7NaKyo4ehld9WZS9I3X1M2fNCHZ2G+tkKHS3UKtZC
3hQy9lJhHzOmMnZ2ppZIr/i10ugecfKrcWwHuc+cLLllq+TB8HmDLUNAe7eA9J1YxSekcekVxhn1
3vK/pUGvn8E4ysgRrnbPpCLCr9HFfN6r8vyunko/anoXZzSE/weRB9293lCZYKipvFuZlov7fr3q
h67a+0U570xc7ejqjXUMH9zbNaDASSU1/TZ3u3WnM7a7M3raA1SKzDgbrCJsvcI9GSYmNnnq08ow
0/9l77yW60aydP1EqEDCZALncntDT4qidIOgDOFdwuPp5wPVPSORdaRTfW4n+qIrokrCBpDIXOtf
v6EV7a1zQ+jWxrCi6gOjA54ivsU06gnjBtLDN+4Akch0Yf40bmJ+mAIHVNSgO4fTNu/QIiu4P2hx
9ZwW96lhTzewwMyTaJvBXflSQiGkX4+2svKY1rY59MOsSLf2RL3FT+0uFLAa/6EBISnO9mUqr5DC
fIl7HFqTwsuOfa3CVef1xkYxm7qs5sY9qChDjGCbLyRoI0gGvz5V/WytEtnem158xHJaorhX8crR
7p0Mkno7mDZlpD8iNRiWpERnbFdW7X/t2uwuJt4wEB3aqgIqaBIT1Bob33G8m3bgwWfdqot44L+n
mdgPkhle4RTFjiIXCEE3FdOevllFOA/jnx0/12U4rEJvvm9KazyonujnLFXGavC6dg05YCKZobRo
u2uWVCj15WSpXZdbzz6QCA1osuShNO59YBGIlCt/2zHsRN2W7Okrv/dNNpDGNAVXLh61ezMT4hQw
I9olmdVvcb1tmN+k1Wbwc+8Q2eY1VfFnKZsLokiTY+OOj97QqJWKZbuGkiaPHS3rA2EeH7OA5r+q
1HcZDdRzQdyuhzB7sER3Vk6rryrPOsXY2EPhKrNLdMorVJA3WRSAw9iRtwbwfgECNNEJQX93567c
420DsONOQG0kXlwsNuB7Z9TeyrUD/5AlWEzY0WcfKe0D8Cs8k0KcZ4kRDChcvWu9rN+MHlcs5vmh
7p34hvS6i0RwCI1GQHAAU7d1KsJspxGerMzcva9SpgSSMu081c0R83gqwt5GA9N21iqLOF6ivJaf
0LI+EUnbHdSkvpUdeTo0ycwbrBY2YDEaO5p1d63y3r9us/4GdRpzNPR9/PDhsiKzc9268Pzz4K5M
ZgQwRPaSYYowStLAiMj42PmkmNXG+M0m6I29sOuYQc2avSZGLRcEkkiQMT5FPVTF0GCXGzz6ik4z
p/Qyy94DK7q7UA0EcWWVjfVwJfahSj4OfeweZ8N7mNrm3KS1XlVG+GIbxC5lRRbsDMXwzKmk2Lml
8raCoN2TVy0IPwFQqGzKYKelhvfpTbNdfMlkU7QfsIsKGiJXPKPGVmYcjNip1sx5vXJ4bCHZKD7F
WjZJRieQkQR7jR7NH6qViqx0+cjKBAjRPtRWiVMuBm3SCj7Y3VDYjEOnScPBRuRRsnvDr54JdE3R
twXuHTwIJfUncv+KuTgxlWqUv04glyjS7CB+GhENSaVnrX/g2P9bXv+pvKaahIT3fy+vL5+b5vlr
1DXf27b5pb7+8Sf/HZnu/wWfX+II4Lo2coWfI9Ptv1wSBXCs82CtOchn/6e+tl5Jf3joE47u4Ibz
U30t/rLsxQiGGZGkyacq///JTOcKUOjhbAO78OveVNe+PZF6VRnVwYuzlwgkfU9sVLCKPay0fno6
f0MEfE/pFQrdFGTepZp/V8dnnAPOggYfPAvOPTFtn6uiHFdDEHV/oBz+3ZW4ho+QmAGM4y3//if5
WdgawayrtCJyIu3WQWdeN32ODK+eH//xLTGnIxbC5XIm1/r1Qj26d+rUuaJCTl/SLH0JjPgl4f//
k8sszY/ijb97R/iv4+PujhUjH9Shvgd3rwGsQX8I8/ifX0oKZBWIK2CovlXuhZWZOyQXVuTb5/pi
NGE7YyEHxFokf7gpesfq5/EY0fDIu5bQGbpFlIJvnp3qcyhqbIwHDtAU2tt0N4XjI6GXj1WPYOz3
t/V2mvl6MRvZJVbozAffencbwi35NsvqwCSfGTpIzSHx0EOWRvxsLirf2NH2SkxkUv/+wn+zFJFB
LmEerxYlbz8vTg+GTZADDkz2yvuO5KyV65NjSwaF/Yfva3lg7x4oE0d2BZSJfNW/Lsa5S7oJg/kK
N+iaGCFoiNvEMoP7/+CGfrrKMjr86dtaCMy9AWfuYPgj+cp6fOxzZAKF/s8e3U9XerMzDRQnJXxT
FkjWTRs5Js9zCcT+//B5me/fEm6ynsfKUL5DLsCyVn+6qTLIXS8vqxx/C6vcVOaiWp0QGN3MTj5t
fVitG+Frsashdh9MjRQkyWwfqNApTtCOsVMcgPeJhUcRouG5fX1laagksI+ol1DZqfRlApc4hrPo
LyuFak9Tm8uV5TPCLSv+kykK8i1TNIs+B62kGuv8dtK+9TFV6OjdIAk+9zn435AjOg8U2vVyImN4
SFjPdFck0zdTB3+UmTYEgRrotm0xhe7SrNhiu1LcE8XqnJA1Dl/rgF1etJLfTqjl7ZQ45Xnwmj5Z
R8qLSvwJMvMLnZWB1S2/xwC2eM4DbjrtEXyXflhdw5MrN60LGZuxYRAkK9FlPjlcduvvJVG5u9qE
bJbUEFYMjY4lN7m7V91JTpDbGu6vBT+ZzSUKYzJMCS5cF0wilxappBtFz3RyclBarFTLszBxOPAA
FvZ4QBgAJDithVHvnseQljr0yuxRDgxs68auPtUytz4G3DsV18DoscqdbuY39QEO7KpCfWHbE9/6
KB3GRQajksdmICkcTDu/NYy4/RzwaEhIratr2SUvpuCddiQFfsy9+GVshuAerVx5HJatMWqa8jwh
gWcUCpob8m37WXSTxHK8I5HFObKjI33u4aP2IYJKyoB4SXfvilMcElyzcjpogKFd+deJxPVBGr64
EiXeRLLLMOuzjAEyzOuyz5rQOREG711EkkeWxjwEXCGT9Uy7vc7rKnzwZoIzydOK088+Mb6rvEas
Ruh9AoOWwN6ZDGcts30MCa+6FIxt/Y2Mgv4pCirD38IHbOiqyzRGCchA7oLgs/mjB370AHkqf7FU
VJ64x2lLMmiAn4NXH5xE+I8lsVcPdlGyfkjrc1HBwT5P8ROOehrkkZm9RjKKZ6HFK2iDMXVXo1WF
5Qr4ycAtV/qPDXKiTeWYMy4LDkfcTD4xw4RqSbLMhip6xFk67PedVyTP/mAZO7/gOyLJhT4+9vts
3/TBCCzt908zvfXerehUd4OhrXiHpM+dtzPceERPTTh0Kzmm4svsV803a+bbcgx4dZtscJsPvWrR
GCeOe1ZTxh7KnNldadgQJ7QeiJycITbWIuVNuFGYfq5DqziNQVjAT0AYm+rkBXzfhxYv7RM/ROzI
hp82xtQA90ewg69IKYeDGWZLZC1vqLM5+kgpYjbtMeByIz+4T3pNjm1UjdH3ovLdQ5FKxtUykvOF
I7qnqpn6PZ6chD/7HQthRtv36pLRwPKniSIntxHZngjq722n1SZqxvuitmDv9l+6aEK8WkimsEEl
zxyF6jbqqCbgco5bJnT9Zd9qfwssWO0wUw5WVqXSj56o5jNK710+M/4KZzSga5xAaILg4MUru81Y
1OyK402UwdkuusS/tikqYcHx1addxtSir5AJN8m0nTW7Wz60PSAQ527lcN9WnjzHjeFdezgpP2cj
Aed23wpM0waGdU5gn8aOFUVaTvC584GszMWNpMfKlVZp5jPKvZreE2Xe18bQmV6FDXtO5KTerZBo
uB0ze3ZdNkqt2T+Icle3c0zSvaX1tAlUzazZtTvvlqRqzXCdBDoS/liGna/rfWZiwJBMCZuY1ZUb
OXBpzdz7EBO+ucYyZ/ga4ZVZFVlBXm5Dwi/hHlsdZ9c2ziy7aLA9XkJeXTf1UleXVnnOBHYkGwY7
HaYSwsHAk6cTBwBIuWSO+brrogH51Kae+G4O7FZ05dnaxaflKg3a+Cpxx3DXT5hNqoFKYmUYrXuV
hO6ugce0JlvVWrv2zI7YluO6n2X5Aba+fz0r4IfRVCCrRjMQqdCyc2em1mC4snjo8cZAdlgUp2Du
8tumY+8xQnaPweejT/ucZ+6X3c5O8BUNiz6+sgPL/OKLrj0zyaQeLbtrL22yA9Bcv08iVPu5HxqX
rY6v7djun4wkaa6nMWovg2T+GJv2ADsclYc3kd0C3ugeZj+eYWvU+TVZiMFNln5SNZnS8BtfynAJ
XmvjD3zPj7o3w4NF3MY2CvN63Zo2brUTFGOORUBX6Xwx3LJbWYpDb7FiOxpxlD2S5kzvjM7+0cw9
9ACmqBYzdGaaPzZZnGBwreMd7Oi9hlXK2GHNuV2sCWUbuwM2fY7ewyVZWTAd0A03PqjMlGVsZglN
Xs0SSfx8jfglPRZDbfoEdtPyFyl5hpsJDFCvACjiHJ5h3Zqwn4c6X1W59aHJrfw01HZ+KlVrMn6A
Jwbzq+k2ncAmMGPKPJZKnqfBGvOZwyfT7H+IXoM7BKjwoMw0IR/difs8Og0JGtQRQXjQeydY67iC
BLKzlb2mFseTbTWTt/XSTEnkrbw+zb9XLjx2EYcKvauq0PJMPkJTu3ZN5vkj+/rkLY5f6xal6U0h
gRh14pBkD1EoTPDSi7QDMbETPaRKrFa81Ewh7I/Z/ZDYI3IdIZnjUlzDJa4W85Zi8T2KK/OL43WH
Kkng5042ZAkXlzRrcXxh4+hv0Xkal8JG9bhpVU6moIOPAd+pZYOhMHTpMq89WDXZDWMdPKeRm24V
JsLbV41FqWrxlLfWeNVxRkO9CbW5KRyrQ6md2fMVn2v4NcwUhOp00YBmagROyQzjGI+u6YFX5uxv
jmT7dkKqE7olZ1gNZM+6wH6RPqQQjqBCTW6//32B/cry/KWOX7RsHiW878JoJJXn12K0mefQ6Roz
OzD4Zb+xhh5DiM5UYPfUCS2l5dWEKyqKkpm6IvVR4vLBu+fWziF/C/9Pjdo7S8Mf2rolOo3gnnfx
Lyq0Qr4Bfo/OxWNnMqJP2VMHhVlR1t0FE8fc75/Au87QXxyTLa4kqMcxuXvzAJzezUMm9Ye+pggr
AvTyuEeS/FpE5dlwCH3//fXeO9AuF1TuYl+J38k7P/1CU+BggkPyCKNAY8l8LzdxU/TVJtH5c0uI
4DZtsMOWrjfcvB47AwM/uY8sXJiQ0xjrgAR73Kvqfj82/9bifh3/T/i9/Bvg5L2tIr8PB3dEDous
9F1TXpEbRuBslx6iPHdOXd/kL6VNrPZqaLGrypEuU2xnWcaHFCWiveoltabA3ui6EhTaqJSeKWWK
k2dBHp4sOs8mrlDfMTlzz46FRq/QiYYwgydU29fQcVoIp4dwSdSygWrLraPy4J6cReeZSRasdNys
+r1nCHWLNIkDOJhGXNDjOPn8eioWBSms62FOUT3/4V29M4hbngUVJcNn6aLZeLM4wg7xF6dXemix
eF+5RlOu2hFXV1TuT3VMdDbUVXQgkNR34K7uOtT/OKfGxxLHs9CT8UpYpm9+AS7pg8S2NT749Nt7
1wjLM3PLP20D7xALrgJQQbQZM3nsd960pF3c9YFkynOQDsWzJLKGXCLGEMz26DNkWtqrKaF5gGDW
P/3+GVvvnzElCmQAb4mYwGblzbUnkTq9zgaMl5shDGDIIUEwgsD/nHeUxk05uNO1b7j+Y+FMj6k/
1S9G5TLFnXo3XLcl1h/LfovTV511ng1jvKKcdFJ9oP72LxIUGd8wpwraoxGQWfEDcflfvPpPeLUQ
Pi/qN3h1/JUQkufiF6j6xx/6F1TtWX+hnWbPRZmOLSyhMv9NBfHNvxykuD5BhgtXxJGwNP5NBfH+
IqQD7bOEK24CJPMr/scZUvpLdNgCXfLRkGf7D6Dqt5E3IFskcS9kEFxf8Kh8a69ajwZzlqwR5wJe
YVuv+zCPx4N2AQrgNhd4o5fRlJcXSSqMgZKXoDK45FEFR9Kv3GcV94UlEHoR44MTYyJnMgLJvnOS
c2jh+rBCacK3Bf8DmfZPT/pvtvDli/npTMfPhx9M+DVUegxb2TZ+PdK8phuYGM76DKNhvBMRNnwu
ZdrF1CsTntdEZ/z7C3Iwv7skcYXLmQ2uL3mbb/BVyA52ZXRleJbSvyhbZSRr3CE5tRIHxRYa49qo
D0KbyIcGXH7Gdef0CqcWycazc8NIlMdAIU9fzT0hi5hTBeAoVovlhFfESDzLoqPhW+iTmSXaee8E
RXlOmiX8EUyHM0KkgZarWtf5vHYJNoYyOBQ8a0P24102cxRZYnaf26Iqm1VSe1zKB44It1oFS9Ph
Er6+GqQBKiF5IxTXbdN1O+zYp8tJIhDXqLhrNn6OXm1TCk2O4ZM82VbiSnvgGGsVxhM0mdgfwi2g
znhjRk6GfjQKrQcBW3jGvqfh3hqNJsiAtXATSuZ5wBOxN24xyq4+Wf2QznAwrTq6HqOcX+RPrn2k
6InGDxrHAdIYagNViZVEosFxmInEFTkdythJNcnqyYKbGZ1a3bD+wiabgdMUJmezLqwHAmmt8WPl
idH4bFstTy5uyGNlJl2O5VFXqO/XPWm/8zqQCCzoHZb5eNWl/Dorwc5lPc41nH7DTJJo4cKDKJa6
WKRfSCKxH0kL9zlhC3/sJnqevtP8cSjGNFQ1MWQkI/BXm03NQ4onh7cgHUZdTxGi8+rgzGaeb3mO
drd2Y5vHEhsZOMboIj65n+aS19ovSchnnNGz6DQvr0QtD8fH0Ib3V9nl2a8NsJU4aw21nvt+uIxw
lLs1PBMNJwDZeFgEVx4s+lgQwaYnPsIMtTANBolDalP2VrZFKh1uMrcWi1RwnB4QIbVXnD70ZnkS
QFDHAxOtc9K6l9MUykejV+Jq6KvsxrbT8NnCQvQAcOx469gq1HMRpv3HyjaTEf4/SzYaEDDhZ9p6
6yhZavo8C9LpZI3SRZ5RKv/RIBylvbXi2ZAbt1csm14rHu8Q51Jfm+3oYrXthkaBNXxX22JGveNF
M4Z5rEjrK4gt7y62KRJepmTqqk/8Y568VOMw3sW5CcQhF5vUMmSNNNBhuzWds3jA9oHXk6VGjalZ
MPBu0VhkwKgKIzyeDB+XSgo+yhRXqmDXmEbVPDWBO95BqeNDMJg2j4fYwhRtn0IrPbuIm6tVMDb0
+30CZpkE1njD8KI+4HY6jRd20fHoFU66+RaQLJkJkWuABnHu4Lkof9HcdS79RhGlln5I59kwHo1O
zfVFa2lD30wjstEdTAm23zmnjfwQO2ae3gV9gpYIBWcNGGrbx7lfish5ynmW9JQ8y9EcKDt9f/G6
YwalD0HmYaPhsKtEp6rG+WP9upBT7OjGXYnsVW9kv3wUrYZHvBoHFDRs5qX1EHcGpghMnyL5NEIJ
s66TAK433HyRll+VPYirSHoUj16Wc00jDROYJ0Gok89aaPQ5K7dDw20HXpt+1OwQIkL1Prv6usyL
QnrUNkbgb1UGpWWL0xN/k8lyOjW14p23mRZXSTvb40evC+r0u6sKywKDmuow2OZmb1nXOefPXEPy
RWJzDArLy6EclNI0j5FlgxG4YsH3DeKMcFmYoXvDQboqcB1/cvsuAMYV96oPx2Et8rL7gE8GdLG2
iTYsjGZtd2F0tDM/wAIDx7dVHmM1JmwxuZtI5e4B5EcuMUJJbcTA6LSaOwcAoIDzVE1BwSZTHqvK
Mx8b7PTWdm5+NoB6Vm0BVzud4PzE0TB6B5Fa4ZesCdT3MbQDVPC6gP0hL7pB19M2zfR4K0sVfnbt
vtjmHFIbyj77jqFb8Vk40LyswgRuUjOOymar9I2PIRV0iJTuxJrT7DKuwuyDlUC/8c2m3c1GCwTQ
j+O60ChWGDpV13025xcuCMe2Q9hxy7aOgazfRfe9k90MyhyTva4bZ1dP9QhVqSz2fVzG92Ejsw+E
3zXhTrcFmlwOsE2W1vMpM/x0h8VLvOrroVh0H6A3cW+XDxw61VPh5lW0Seam2HmxWX6MpFwebY5Y
x5NuV6yl6vCxlaO9CkFiNmGgmpdYK73JkD8erCUbcUDAdOWGjXI2cCOLCaUt5cCm0VYPIJuXey+r
p2XKZZdHFY3WLnTFbRKU1d7E1n6juccn9AugT1hGyGNB/9Vvp1x1VxABg3u/iuTeaOZ05+IJuSaK
e/bw1JcQxaK2xlHYnQ6EyUzHwRA+wRCQ46ZG63WL2mxdd1OCPKWRD33cz99MOHxn3/MhdRXaz/4w
kn0DK1ASkQrI/157fJve+9eSqC5z20sy1AVjC+0Ur11g3cHmEHIMIGF03+U54Cs//L4uejMkfb3q
4piP85EgmPvtPBZPxUhFg+ufahj7nzAEYWOoWosa4/fXeTNRfL0O+lkSRqn2FtbDr3fXR6XsGj8M
Tg44OXuqqdmzF9GXOwZsGP/8YsvIl8cpYIa8tecXfMNGSBF48jJQ63IR57zyA4y487e/v9T7QhaM
BN0YtbhJ1sTbQXod+qoyRlOecGYWV8Ui+nAJlAEJxD20wcb8D6vkb64n6EMEy8SUOCW9GWoLD65q
keXuacZ5+fHHEVREJieGWyxTlSaeeLy/v8c3rTfvjpsjyWSxk+LlvS3Wpzx0Wl+3zglJFdWVMkyK
HzZUTuBiBFUFFuRPrY28559NMO3xHy9SBoEuz9kkBshyzTc3XRZObY4ZotGui/VhGNCNjGL4U/bx
+0+Bq+DrC68URIXO5NclmgXWUARxI08hyqTDFKMFUh6+n79/mH93FRpKD2Ne4Ix3eI1sbat2De7l
lXkhcVJdo+/6D5YJXqC2aXt0O7Sbb55YWjMdrnBjOFkBajXSRFgU/YTPF/RBBkltNfbzH1q69/sX
ezp7GLflLEE7bx5fEffBBDnWORlYVz4JlF2MZ3tKkY70sW2BoM5a4d3HEvn9A32/sxD6AWWGYHhC
Vd99ET5wvzlXroW5FV93UC7u9nJxWE6QMP7+Un9ziywOqE3U4ATsvN0sFQxULpVbyK8WwU8uyvPc
MCHNnAUAXzq4cVk1v7/o390feV8exDYXiO+t3KOHYWtHvhQnfNDBfHNYE5npRXsanT9+6a8o2q99
OSp95ToOshPlvf/SlrGryX7CtLZBsZWI3MXOU5nZHRRpfVXil8XwZKJMHgfqOmZ/U3PV1xik7AAh
HZqLkoElEt5vJGnZVJ1zwfzfS2X1p+jj9xshWhvyMOBLwWASb6lmBTalMa4grPAcCHsdB2j8ktHg
vCS1mqWW+JT1v38T4v23C8mQr2qBIuG5vcUBwwy8JOCMOxmeQa07ejb9Q4tlyjdPw5dfR1WwrHc4
4Fd1l9Wf0LnNYmPH/nhXN1ad7euwm+sdVRJCMOTb0T8+HBgOwJyEp4ZBMzqkX3cws8aSrvf46vPZ
o+g2kUOIkGF9Q5J4jHDO/BOM825tQipcvgagHJYo3ku/XrCOm6Xon+ZT7wTOc4NEPllNdcEyHRc8
/feP/+8uBm5kA3Rjpf9ubcLm8Anb9SeEEIzWkwJzLaT+dDmuWdEl/f5i7141d+aRe41uaznx3top
56khqiYwp5OEriwpX1tWFh8iXeLvL2Qt46tfPjnocJAlORG4OQku9uszxJk/HmWlBioIHTU3Jj1c
tza8piWTk2jD5lwlPUiIE6ISjoaIwV9WKVuDJS/HYFmPd1GcghMYA80S80aU67NihG0aEigL1Mve
mdmCfgx1SnM8ML26aQucjPJ/uhHLJdeduQznGuTPt6VQjDNxpfKmOVl4Gm8GhkZnpPLxPjSnf1x1
caklToFRAJDeuwEVHitW24/ohzV0YjS5Cfdfl7W/NaxxMW0f/4gfLqfXT28JzJ/90FqCrDwBAfnt
Wyrm3Ba1dp2TrEfnu5RWf9JO4D++AiJSNaA69Zy5H8pxtP5wAFhvl4izkDQha9pceRl6ufavS8TJ
4DhAtUlORIqk+YwLlCdJ8Z0wobGtNYmM3hfcQlJn05fMm6/8EDZGYeswJpcBYRXu88l0Z3Y5KOKc
LnhNrdXSWHSaf36V4eochj52UiK+Ue1kFPxNQ0xCAZQkJtWpZ5e3btJAM1iWF2FDVA9Tq0V16vUi
GkG+PN64wwg01gTMj88pwBEUjroPl+AxptCXrmmkemOKNL8dQBuutGwNNCmxvCknrH33pSqYL/ct
Rm+mwn/sAljaLNaNcjt/FTm6umhTB5s2lRGuvEE0NdNAz/EJ4wyxRlXvdnheiAgNwqqrY7cF+zZ7
PP/sOVlY1ZlIAI+6SmTi26C9FFDcSPhe/LFawFDctqKbnuijcKtIvSmPBLsAevvaJ19T9ildUVHP
/Nu5Vv8qPvs0AHnxs6WuqSu+tajAJv4FtByHNXQlC7V10qOfHkPPGO+qcc6jG4hKWXmRhnXf3jbw
f/INjCK+7lLkVXpXzjBaNrprRb1jIjzepShKL0Ipy/QOHkLzbWQMPoPwJu783cau3bnUtVigqCHj
NeMfwR/k1t1nFx+k+b6C2Myo1kqci35xDgPRQKW1i9M2HXeywuRkAw4CcoWnM0C4l0/S3sJf5G9E
XBZAChvs4liPSWfckxHDpet05tTyTZgD9SrK7Ma6Lobebe8Egotmk7Jcohv6VcSKYlL4ecEgdI59
rxuVbrq2N9ZzVeBDIS22cHcOWUFF0dNIWIqopwunD8RwjHCOCDhXBYyaUmdgWl7VNfN+RPdmrRjP
gjJCABj1gyhwocfMw2WBESsorSsj1pwNr3UAmD2rD1cMoIZIMoU74fCET04AEOKh5JrK8cVv5+AG
zxuYra8QnJt1/Bg7GsWDk1jucxxEUbBtugZe9o/PCnnK4kLF3jsoDGafCyLuNeD8JB7EKCKmoJyK
WGq3cCvWWrqsotqTC98tc3muVrNg5nbSdF8gJ+OtPsKNvPkxmhGe8xy49lJIhA61nVcqiKYiWZBY
DTy/qoi5P+BPAwL/evwp2QEyRmBX6sJVzCNWqRmP5HrBOGnOUI34TPPKYNKQTQ4P1sHd2N4lvhXG
t01R80OECXayqzKLCIxZ1OPnblS2gdOectP0zisxBb90x0w8yCQpnHWHt+303TOYZGzhi1vO7SQq
UOBooja2+f4GlXMeMwaIylUEXMFacZjmwAx1Wlt9pDBPW6bUusUzbJXFSJGTVRDA21izhZMGlekG
tH7KACUxlyhmD0gCwtspN80RqA2EvPUAyOaOTIcfJ/7/zkn/OCflyP6pZnnv8B3DCOIo+HVO+vqH
/j0nRfy+ZE+A74BNULf9Sy/vu38pcj9/DDr/ezxq/gVlYzGHhjOGr/dy8X+NR22JiJ4qkswPpIwU
YM4/GY+iJvr10OawRiNP20SXDRQETenXc1MLCeO6DpnFuCbaTXhpkpwFB5h/WlXS6T+ZBIMxOnHL
u7iaiquZXM1V7TGCWBd+l2yFis37pE3naautMb2OvBYVmjTAhn2l96Mf2ydYlmIFNRuZsuvREeBK
6TuYHzHygsPuRuc+G8oLM/SFWpVWdgFXKr1Rpe3tc9OP9oFC6k20nNMSHWNgiIYUez/HkT6mlI2X
XTMFmxm1iwGOzYmLYw9+VphAD59TzPzSzQhQv7ax84NAa7VEGpSoChEbkrdnDOOxM7+k6Vw+qzTz
LufUDl5DbNot/wGDwF6OuzQY5fUQjMjshPQJCF+MwI4LOe2Qasv4OpS6flFIiq9tFLVHpAH6ezha
QY19VCVu4qjqFpsTTRCMM5ySVJkce2kyYc2dWN8TExl54jI5wWjEhpjJQOoqNIvw3FSz8bWQ0FFW
kA7ZuNGhH6e4fuqR2eL0tgxpSO/5EFVte+/7LeZBWH3rL8v060kbaUr6oOtMKwmXrlvNhU/j5RW0
xhQ4K8uM9TFy/VSRbSD0c83J3q0tZ/goLWnxkIvsSxa37cGf45bQiTj+OptddhGb+tqYQ/eU6rY6
6WCez5hOk6DrqmanMJRGeSvjCXbv1Fma9xmmT35M1AljxrrjbyP1eGc1dnaehAqQPuSSGx39hLzf
oLsQsWtge2lGexh62QO4VvQxbeMoxda6sgmAxwN7i0N5IjZ0tibeCJadMu5g7R1r7XSXnePPCL9L
00aPIZhLR/MCxYWT2ayHpog22WxDAWcWOLzEidXpdTUurV+RcXxWSVQg8HbHlVNP6iLU5bzBjAtS
qPbyywo9xIVlUA+s03zA+ad0sJ9BrluFj8grLAm9OnS+1OOAZ0PKgGSvMuLh0GrkS6YyJy3T8nCD
z5a4Yobh34bBFK0Hz9jidYpXz9RvpHav4szvv2Iulh4xA2dYnRhGtOmbDlPpIhrP89zKhhOqLT6g
yg+esJAOjVNQWzWhFYUS3+rBbLpVhDnyXY/pTbDtp1R8av0sKNZ4XXW3oivqz5qibE3MjHhONTFQ
0FXb6a5hJuIdsKkbMJr3iNSMranBktMenVXQYhK06gJhP9q9GZ1rJuNfcAY18UjkAAvXSs/ZgSBK
73NCJMFl6o6TeaS48x/mPi2N9ZSoYLG3yvpsU4VNibVykT9TgvgfdAz51hyqjay0jc5ATt/dSk9o
1oQoi23gBcVTEnaNWGca53ZeVqE/tcohggTb1eroBYQM5kbf5auWgJCLxQV4U7X6FsjBx0sh9tot
OoMaVqp2th71MbRbBNZz3zUbtL/xxon8DmJ8i8NjKdTJNRumz3aUeDwHJ9mXXceOpu1JrTFfNvc9
FmB3FgzmfRmb6bgx/DZwoLxp85NF8vuWmJh61SOawGW5yONkj0ogO4YTFtdkl1GHE8G7JHvEDg9W
5clHaPE13tWitQc2s6A7BiGGsdgmDdXnXk2MOxwa3gP8YMIIXXNqrp1GG19LV8Hqb0TS30z1ZLC5
ED2CRC3x4fo7Tr8zcGX/DFt5+F5n0fBpcgpxaTcxJHt4gN60sl3C/9Z+YNfX0eQH6Qb3JmLUoiFg
sGgg5RFmdR+miPDx5B7OaJsJQmfwhTODOjnVhDd/UWS3Pjawmz6MgyPeCSG1ulPvRzN/CAu32zca
e+fFNauHNsFsi/npVKz9tpdbQOv528xsM9/2Al/n0u6QNJVRD3PB9JLr0URh0J2drJZFu3b0UMUf
sUnMiLZTZCqaT96UytRaRdoWbYtl6NQk18EYGMikEnktEmbLs8j0ncSF/k4KFd6wLY6g1ul87MPh
0cVp4K4G57jrRBP8F3vnsSS5kW3bf3lz0ODQGLwJEDJ1pKysCSwrswpaODTw9W95JNlWLPYlX99x
W7d106giAsL9+Dl7r20EeppFzxNdfCizrUe8oltNF4o0/OxhgmCRmnitPKSQdzo+lTvUO3A84hJk
VZpbHCuBTtSQEraZ3cYs2+x24VwuKemJ/rCTniszAHNleZP5Ol/XybWd6IqEC8OJkVfdN6xAtJ1z
hXTBuV1Bhl3bdkXYUUs844Pltc4xS/PpEW0f9XkyRsl3c9UWIizjodz3mqw5FMIu8GH8Pqw848eY
H/7epBIF+NLae9RQsPUiuX7Nia1HyS619RCLYtll1mKAG+yHrexhmOe9zXo0pGK9NPrVPSZpUmPh
yO4Q6DFuloZ5G0FmsVhkc/BOa3Ssncy4xugW1wDhLKWCH+q7GEXBXl3Px7aexRWwsvbAcuHCu2nJ
4IT2b24NY7JPhb8mH1GP8CKdNRS1rZwRYdl6Dz56dZeTkbfT3l98/ziKoXtuoxr0oLDHA++TAzFi
qNvAbFy/5BYB6+LssuibPgNDFg6mL0+TqZcpfGUT0D0RceCNU4hqsrBuh7yMrlfXn48dGyNHCPKo
YXG963Xqv4vONOrA7mz5hWCE5KtOYC0ofK3Z0+nSAHaNLDU8fiqk1CpMO4RK7+7SMcvvCDqYvjaQ
XjZ5L5xXzPverbFUvHmJWjQZgRnpfp0mrEZtaxj1Q7X4X9CbMPMfEy9pmO3KQYR65RlJyPDaf021
KH+g7dPJO6ft0u5guqhlgtVxcgDOmZD6leHAGds3vqh0iSgIrFvIxs+Vr2k5PbQy3sy+CZTQTBx3
1/iOGyYIFCJih6bTKow6u4SA0pUA2rSEcDzTTt8Mh1c8RFqi29t2gtOFqoS0i9W5FmKex35fx1jL
hgseWYNMLHesEGC9yWh9peydX/Jcq96zcTae/X5wH4WMmwvEO4+ycpdtacry6EroSe6AFcCt53un
WF9ZAH8AEX7LeufVHabhG0NeKghgIyiv7OHV9ck1clyvuCOeYztZpXbFzeEQjIX7WNGK+GGuNgF3
fSPzPMAk4TGTH1L06PXSn0x7AmQzgOOXQdP6cfzoOURMlquxnpKVegfK4WSX2mfz77+np384PRFZ
qQwJ/7PK9OWtS9IqRuX78/np93/s9/MTp6HfsHCq8Q58YbQfHGT+QI4Z1m+Y3KEP/5yOZCnaGH4A
hVSmfXEGJfwhMbV/w2ZKvh0HKyjLgm/3H0hM/9xzhxTA2Q3RM41p5UCgz//nE9SKhH8g2cM5lWOB
vq1K5+HEK9Q7CIxk9/WnC/NvRKF/7rGeP4xkPnYVmBCkPv7ac4/t2QIs2lunBHHJ61m7tEBseiao
jha8Q8HxGjOfefOVeup/8dGsXhhN1HzvL71rLRewcYV1WmkIvlZ+i8rrc17qDsrN6SnJWqe3qsMe
qZr77z/+z8Ms9cthJRiceVGPcON+/XjDTMEQI3E5FSWkZQojpebVe0j1QHPUx80ljMq//8xfusq/
fyiPClJkMOsArv98b6sGJ0nc+MbJRmP3WGG/PRqlw3yKoZv/3EAavrLOOscBhmK3T/qh/3CaLt0X
GnEmoXRwQzSuEothMmRdB19svWEUoKyP7FEXl3gcldhR2XWDrhE0duaiYlb397/jz4f8z5+BKYB5
Omm1pC3+MoPyJg8amZsYVP4az8pAjOxcDDQ4PRBkj+ST15dYbLuPv//UXyF86o4h5WYP8Xgx+P8/
XzxH091stlukSGIki0ZT5kK3Sn4go5Q0xdb53oa6c2O7MFCDBWPjPwwF/vpiom05zyB1n+fm13dl
9P0ql/ksTo5GnzhVL8ziI0CORylu/v6nij9PqM5X2ERuQtwxegL3L5IFwh/6StcHcbLUJFNrEhqK
Yyrog0amSVM6t6y3UacDHutIZENmWbwsWubSiFWm+b//Nv/uh8MxYbWEBENX55en1rBwH2Gm109D
L3lJLDeioW70CAkDQiX9/8VL4rLs8V7yH/cvWbeiyfRUM0fj1HY98QILgHr46AyZBhcFaYnv7wh6
qL5k0+cpJ3xE3MB9mmMOhGjuAwHg6VPgHUs8qttzQ7/PR/9Tf40lnM5whZk2BY5XzdOFn9CH+IcR
4y9T/fMNhDTjon9nq2CC9csrkhUxNP3FFyfIBJT05/Hg+bmZ+7J5PZuAC29i3Vu4gKWHZiqG5wq0
bfHlgcxcetEcAJhfrwhu242I9I6JN8L9v7+1/2YVdE0L8gnzNXT6v8p8tNkYRge8+8lmJgV9TV1m
eN6Ep+nkPUklJP37D1StyZ+mevgAANXAuQCMw2gN2s8vF6bsYyPT86U7ncXZ58lJBMbjLSI7Bm6c
riC7psNEIEojWt5EZyB/mNDxPqSkizQB6EmEsTCo7jKS0PbnkStnQRZO9UycL1HHruFgJsUG340u
dARhelfnqYjh8oPov/yTjolf8OvP4pdwn9ESWgaTy19RMiunWVci9T/BWuOM3ixru8kwPNxKs1j6
QwWQfwozd8x6Mk60wgkRZ0bJzgc+ofzPjOCh2TZ+aGRQ4fSyd3dEyRDDkTgdNTuJMouJAtuOmESa
q4/cN5m0p0Yr457UKKzgwRTT+iTfzGUmhEyBNyPrpmHLFuDQPMrI37G8pjpBzEsuva6k8VR69c2Y
4T3fMDsij7cxCu0LI6T8VtRL8U4gDJJU6gBcnsu6Nny/MflYyAMlSWBBL5r27N/gPOzShLqRNXd0
cGr8AChn0KfVnb6BucupcnRdrXmm/5epSDzXpbUoExUIFecOgaSjHIPSjlto2I6/tKHTG943rDAt
JIiSkfxhndeeeR/1dXs0JKS/Y4Ry58qIB6QgDUksMGL9h2XiHBe6FvELJ/K3hYUduq9siKA0UMKS
MKqGjJCyaMOZZnG08bLJf8ZWy7ab84y4i9Kdk7TmkzKR0HI401VcXCV8u9pGFQ9jOQ0rj9WGEpCF
eERke/+p/VtIikmA6mGp8bqosDj2ZoV7RSJIPrAzi0R46tiEgba5wH2TLbBYa3mlzb4noMHWhGEG
TTp7RytOk5sx9/t3D+ZCHcRGou9pIbQbhO/xDSEW7a71AbhJlKMT5PMvNKTSC2P05g3kVuMbto0a
q4Ts9gwJop2xmvXX0u/sLzXhbIF0muSDB2X+Hg9R1gdrElcbfeD20ILuq30bNyQmCXdEWBiXOtmG
UTXPJIFo2sJorP9AFOiEs53GzaNme2l+OVZel1sMFMlFfnRH+tg+DwBoBHdTutCVALwvzNrhylm2
j45HZcZPBsnBAMw1kQToiRanpBck/OaLBkPb5OvmWYVVXS6lt9N0VfysGArqPOcGkRVWX+oxsgFW
e816kx4jwS2Qu2YJSkiiTzPCY1gVSnFXLgvD8dH1WVfICESTdzaYJJ5gM7UAUjCKFi6CjbbjzjpE
ExVBmtFYhGiPmMKfeLyqsyFCxe7RUoxPg+utfbgujpoaTlAjUx19X194rEblZL+h0fefJwMtVrei
gHUG9HAarcAr1yr9bdkmkhgj3lAvJJCFf/0i7bN038a/6SqPjFLREUlYX4JwNx6lbqu/Cfz8Vc8g
l3bD6EaEEpB8EG+E6Pkz8Tor/VVK4YMEmD9BKB+CGc/m4rQGO3XQI+Om+5qI7IY+LUsM7jom3GSp
XPnqfGzYDpt6iq797rxGUsORFmmzibr0VA5R7WGV9NWl9FucVl038Ifnb1sOA+IjCETzncoFMzBm
pMudPNciObLE9paMPYwe8ShuhpU7MmKcvlxwLD+OYgX3ojQSQ8pxwywyEPXKCpL0qAM2i6oeFwMz
CugBfhSvJJ+UJ2P3gcISsI36o08dRJxRfer5aL+dlceYq8mSKhDjSD+Wr1mOVC2c0265PxcKay4r
1ExZ4bwZKiMy6wpureTLzIaXfVhmoTLCXPwhtdT0G1255Jw60m+6tkDAwGPEvTPUt61qiXi7Q/Zx
9rsw66cIr5UgxhZ580pPlt0cjD6itUjRiz51mGMNW+AouxYFx+/6gHrC9iI1PFPhucAZVKmSr1n/
8Xn4MdWevGQ+ygHEDlYRkisooW40DloEhuBIlErbegNnylyebYcv2Bgz4x+4OVMGllpE3wotQRtS
nV8hEdmIKMa5VWUQO0+/aaeTZ03dR+F33KMGvg9Yze7Dj5WRDmY9axvDM/OYJzjcxCIoDJQGyOFO
32CocI/8nPqSqDkHMusAbhUQJN92/FQOs+P26vG0q0Lc6LHSDeXWoKbZI+Wq5WFHukYQoiWHMok4
AwoHHX6AGwjbLnIxvgzBQ13QWznXrMcG+jyPqUuAgieLbS91/OGGzzNSMO1/S8qJqnRuSCz5XARy
ImjuERZzVYocl7mz4A6ThIJdNo76eDAwXpipt77oBXJGUeMYU2Ieyn15kJHJXU0NuC0FGznXgdiT
S79Ko+ezV4/YDeetVbrzXC+wqn0atGIgOldtSxwwIzieRGvO0Odg1VLPBjX6VrQgQ6lpZdzd+TMi
6KNXqxuUAfPKd0YdyUPZgjUil3ImqZTjaLddnZ6iyPAGaiBjissHxDr2m6nIyoamXHqEirE1zZ54
nMyWi2wajKuYr2R+ESyp37yS2sSLLsU0Y3ThF559oBhRWIHaGsny+cBLMBRiNrw6j2PMETVl6daD
iSPto7KVPeJF47b0qkpbvYn7dK4Yz9vmsuo8UY2SyJlewm9f7QZXv+FpQTYYJRqbgZOMcji2zTj7
m2wSxbpp1dc5p0rkKXpGoEm8r1WCR7sAI3avrwt4bddczd3QEfJC5zRmOUpzXi4Dhxvzuq61zSDh
kae5zmQVaV6EpGYaXYmg3MZGZpN1bt/P7aSSRSYLJYfG7OaNWE+eGv5uPOSMBR4LDDLHXNYq7sQn
LeiihGFQboshMeSD0I2JRyTKudCr2lzS7Lz2zejg6FcKFnlKkVgdyS1ilhjU8kycL8DnWqQO7mNm
sC6ohbWNlXfv/OwylmFbO/tPZjddvqH2ik7n5xMxS7TPaATsx0pa+bU7eDwinj7wQNn5eJHEC2De
zweinErvRwO6eAzLdmwPGuEP22LBcIySCV2Neio+3XS5EYkbx0IyLSRjw8xWrsq809I6dKpK0OK0
K1aiZYWLhSaMJkRrZ0jWUvWDNFJtoZO3cHZaa+KvLRRCKHGEATLMYqbEIycebZQ/00YUMW+WCzTm
Hqw+ikjkJ/PdkNWs9mYqbm2X7igndR7qT/1lP/GqnFdAC7FUuamZY5VhH2lq+0YEEAemO/HaqA2I
MV1sLlPYQIPrgjpumcuCNMdxCPmJb5sNPa+ZKRc+N26W+b5cLI4EDUe1Z39eKPzwSjJ8XEaPp9uw
em2TWe0MFZtaaH0g0QnbYj+MVXIrOgbqx4pl9KY9y79tj444O3/N064LKJ+PvT1QhMRaDtOHgRJB
ObP6va4/3VmD4T4M3lzeojJ8T7RIC3M/6w52gf3ZZbhxSaZw9iM2YUi4hBYGJmS1HHySyQs8sz1m
acOOtKTTGva0PH0qlMV5ZtjPdU4bVrnanlZik4cMzSmKf9K1ZM0AgQnYMW2a7Nq0mHmG7Jr0xaHQ
HyrRVEtYNEShRQTs/fDngnrhLA4jvpMnrO2M3sNv2fX6hVSL/0UWxTQigalRUw0Wk1EDdPFRq7Ec
V/RsMG0V0aQ9kAHN7WkJX6RT5QsuEpQkDM+6PgWgjFhw2rNoVKE1S1XSycRDbxeT31XMUgsHWHGX
54Py2So6mT6vqp8oNNaZ7EW+J80mo6Y+sKKJbzqfN5MoYd1e7bTOv9fUmOwufuNvM7WHC43hG8Ne
nqDzwTDW46q5AFLSsOT1rGk1dKXokn5aC6IcwkSqME1TAwEvnmFLCK1XgDaktY6ZW2rcyn1VY7t5
1ypd2FDGrFZn1/GomGDnddPPchZHhiImaQ/oso1C1ZtNRLZOyYC23EQN7auJKfFrXgBqqZn0vrWS
V6gveHjSSMvxc9g7J1Yr87oyqQg52yUHYsrS79booDMDLscb12voIO2cRKIzH9GB7nU5aOzMZV55
1pGUGt09cmCb+0PH+SbwhqHd13037AoIlAyDu95+Q9kmHj0PXwW/mFWJPg+XxM2wtyITMzhJlA4b
izMuzmNCx3pzlmM29sz7sKrYpM+S2dbLH05szPhnq1IngqiEZu0svbHjk5PHpB3mp1kB5BJrSZ8a
0P+bjjeE1ZnTDinSAAmBnDslIoLFarS7VnPghlFOV97WJHnnYMS29j40pv2BvXL9XlBV/qjhtFFu
TwWp9c5i0LnodBQfXb0nwXT6gtLcaTdDFBXAwCUBAVuyguSFbc7pTepiAIozJ30pmz5+cLp8BD9Q
wonLO1vfL5693PhmEz1Basvfa7nwb7IrPe2olCs/vlsrjRNroYOHAyWptwzz/dF5PTdL/jvh+acJ
j0nay099pb/o4x6/V9X3rvv+/U8Dns9/6g+BnPjNIT2DRqJFp/pfwx0gIjT74Xcw3UHFzv/+CyKC
FI7Ji07vxqDZSXuKZtkfKjnrN+oa2giUN/Z/rJKzXKUe/1naDoYD+5BPdxBcCdXELzMeF/qnhgW0
IgmNLkuz51hHTtoW4t+Em7ykbxYgnDUmPO0LZE3wCBvRzeaeM6J7kCXmYFpBHfWmDWegk5bzOAM8
2zqpXhEx63REibXmtoyd+Us5z5J8a/DAb35ciaPR6EU4+PYUwqCwtmjhPgaygI+j2cV7m7HahgQY
GQoCEInX6If9QpBxgOvRqoG2zd3OhowXFpWX02Fa6i9WI1HkoiE9DnNM6l7qUKm57kYnkSscs5QE
vzbyDtWSEk2QEK0YjB2ZyZSnTv0lEYPcI3tZL7qx8JNNbDjOtwgAXML4pSlkUBIyc123S/+Uo8m9
4lij32PvNji5uKdxEP41JBUaWGUcfy2SjrhLMx8PK8PfTZ6yndJ8bffAPAjDToEcIrg51U3tHkFf
VDuo44vStYrbyvVJGMs3rJX5neYh93AjErnEMnnbAmlRMOTSfmh1E+6/tPRQXy0L7cHcHRFJazCx
V4HLNtEuiq5qUH9LKkAtWzeqdriWDn7fLXARhLeoPR5F2lhbQ9jowYD+7plZ4ESXjPr1tVtPzWh0
10BPoiAfDIq2cn5f8sHZdlOGxNHNu9OKCj6YFqfYOUONVKiZl3srzdxvQzSHbO5fESZ0e9GY2WEY
id/heBQ9jwQl7rIscgh9dvLleliM7Dq2S2LHPDifIY4qSBslAQ5p4nnQE9t2Jx0jBVVDSBnWSoO4
gb4I2qX1v3ltNf2I6cnuVpV5EsqoBIOJaf1kLVNHbkTWPCWDyJ68uV7eNIcZEpEQtn6t1fkI5pZt
qwa+TvvHJ62xIc2cUWMEo3LNvYtId6pbU4z1dTGJJ4TpTR9opiUPyD/yE+4b7cIjcO/WKFv/0gIi
MnPKsrI2TIVWuodBG9JlR0uHNpA/WHkergNNfodU16wyRj9Y59bcJVbDOR7tADtDbZSHZfAyVCY+
egDDIt4sZD9CqT+to7HJJEq7TpQKyrKWNEkwadgSfTXtlOvWMd7qQrrRFefDObnE7fDioEm6p2m4
jzRPaMcuHazI2BdkuuRuMPpT5b+vsBjSLXq99RYlfHfXDRAY3v3KjECsVpxkvH54sqkj7xANsXlu
SSR5tKIOSV4LnhPBkn8B79kg3zrq2LSw3Df3zayVaLTTZYyJMXLz9skoOO/MG1vPaftuwCbW7kXV
2V6nbUo7M/RbFkquezkSLBg5xNxji4gj/XVNyP8IdaIqbtAtlu6Ljp1dttsOzf2pmv0h+sgi2dFp
XH1IvbhF0OBYW32oH3hy7TyAkjxMgWoY5eE8FpQJeu9n31w4t9qBXFBKarsukOVAmQQ1O56xMBF0
AVoacek/l+rskjNF5UnRFxEfRdJzpKwkp0XC8KyPxTL7fG9EM5gYd2EOuKE/5tNuFEDCtpWtRgVE
1VL0l+pwZ8bAYkK4oLSRzjX6p9y/zykOkHYpBTzkwgzKaepX9S0mZKN2wmWQidlf5oB59U1dj8SS
uLMbb2kLObezkvLaStSr68XI/m9zjWkjRstjoRTDLaqVlsS5VurhWvoT0CPUxZVvSfJzfd772Y42
9lmGbAymixPISPaVO3r7WumVK4TL61nC3EKOv5qVrjlqGndXTz2HTVgyxMVCxUAEPSg9dA8f+sJD
Im0rrTTvKrJpETvpto3p/e50pavGyJNtHaMjVcmcbE3JqqsbNxnqe290nZvekeOrfZZqG6Z/uSg6
dCFbsclnK95D3lwB3awDCU1lty7vIC2+sUe1N9gVnd3kcrYhF5jUWUOX+kO8img3Y5t6IjGtO1kg
jtkcODcUsdvd1r2n7Qpt0S/GSo/e0brad2AkNp3rxEeWzuiAvlv/krsi3XSl772OOCXA7EVGg5pX
zpfu6q7Xlm14nHdmwgGnJfuKdFdc2EQC3tCV2PVaRSOeqNss7E3OCEE2mtY2W6L1zvGzbAu1bt8V
VfMEzKY/Ls447JX9YW+PJWzZTJCps3YawZ5FTcQjLrxs09IkJK6TJd7nOLdBW8pois9/YKRAYCIT
Jzr2UXLXLDGBPGuSb63Mj/cOP2DXUGGSbD9ZCUvjan0xTdmyF9p+8zZ6Rn8Nb0V8Hwej3tmQW7a5
iMSBit580WY+D0h7vMGOFO84EJJFXfXFTa5P8nngPbwe2r69sxFyXXmuqMI1qbIrsq2Zj5vJeJOT
/0ugc+EcinX8Kj0rvVqsJHmJ6kG/iSL6TEPWOVQCKlV38FCPw8Wg4wlrqg9T3vw7m6bV3jec9s1T
SfCdk29MhjIMaG0VMFt6zpEhg3/KSYm4FFlef5u6GC3UXOokHKFtT/T4JQJ6GwoOBxQPpJ4xUiCl
GxWeF+hC+zJXkb61GEBc22mqX5pal5KV28ZyM0NT3FgisTLGKv2TZgxMhQfaQLjpOOT72lTTF58d
P5RkBIar7y2or2MDTmHpKVGunjsi5t+mT95qerzU7djTXUjtzxbwbCUco109YyVo2xzBH2FUS+I+
cFz1YrY8CG9x8tg5S5Oe/lvfV33aL/9Q38PS8FB3/M8Kruu66t+qt5+r+9//mT/kWyoWEpMwHAJF
HcH9+q8KXym7dGRasPkUUpWT7L8q/LOGS+cvYZ1G8uWouvsPDZf1G9hQJCb4Y9C1gGb5TzRclorN
+bnChxuAfsvkvyY7o/eXaJFmrem0Ice/dRvaCWGhlar6S0iwtiX118EFalbtmDmSiarAXNcx09ew
4En76CJvpRsUlwRWQSmT8zFZZVkFNYvj+9oaDJKq1LN475rlqpZ5W7ykqyWv6m7VPzLGBX4gEOMM
gY6eY1Ey9tHcp5ynn9y+d41jJ/1xvJjNtJ2u28aptgneRDpqRrFAV3Lya+VhDMUQ9YG9aFf6wIMf
QIKLQ5FVq7GRS/uVhQrwlJEQCzzO+sIwDkw4BvLBDhZ4ajvfixJjG02VnYQWmXLXBe7W41AM7kFr
h/Y41mXWBG1azadRanuDDjFpmv7LVHHKSbSih4EW1+pbLWv2MtsIOs2BdWBgVpLQWyI7ZRWtEJuJ
hbLfDHVBMR4wArERSVcGVVyNry1cEbiugqaaxVXW1wHzjJHaFxDKKbmaKXMuJyQv71wRUr4haUft
4+qQqdi3VqdZl25Ld3abtSqBc3LmZt96TVJsjdmYronLLVKrOLgFPU+dw8TqlSPcalbW3jxk6Zzg
Ew+7vBkH95ISFHzRGgp6cSRBTkk+MMIK/JgdZTyKkvHneAk4h9QGHHeYgryzhdV1m00D8Pt1NA1x
33X0zgvpE1KGL6PJfviMFX4sEa1p88agrCvFA4xcsUOyq7zGuFzdL81EW5v5mT9eTXGeX+BgpWPq
tnmUhEsxZMfUourcMt06YY1Ab5Gi/4+SfLrtlmJEvp5CnS/mvN4sTR5DDiS+jjzDehvH+rpb0zTf
5+yPnGnm+56JFPFx5DESKdcmFNGyjy88j3ottEyuNuoGLzroEG36bWEu9pHarN2hkO3eaqMp3o1e
CnPn5wRoo9dek6D3iMojCy5rqXU6X1x0Zj8FZHIWFxkuCHGgVv6aZHiYw7W27DuNK2hjo2nir3Fr
6XT2rHJHWom2Z++vNi4fd104ZrMXq5hPVd2LfTLl+AKY6LuEVXgTLG5Dzy8NEUtY20Y3Mpt2quM4
6RhpYNUjaSf68wo79XqBjl4nok2nZzSgLW7NbOfpJVErRXzjJNjKNoPlXAHYgWc459FXVN3+Dmbh
iC+IUgQxWXUxMIF+wubNeMy1T+rJvo0E0glXnTVpvF2vGZYgZNd96JmNDfSrwQVlmY3+oxYLaYF2
Hn+JmxRAlrRgqo0gpLsCyceSOvE+y8Z8D2CHg7BUWRMkJuwbp/UfYgs5gEN/RIkUnldOApVJkiz1
uXPFycm+QuGPbwoJyQsF1ZSQcjlPV3NqGq+lvcwzrfO1joOp0M17hxPTVjAI/KGR3ULLnquxUwPM
IwkY77Rb/LBNI0Zo2rBIP8jJ3HtozIlDp+GO9bvlLfGjnVmxHpB9YH/rS2Ylld91/Dsa7QiDDwQc
HFEUIKScT7pTX+QzLQgPaPsWqt+8M6vYO8w2qpOpqUYvGAjq2fV2TICsO/TppfCT4bGnqA4Lrs9j
h1yQx5qi11iumPLDQc1JN9QIiAZGb0r3wms5S+B3KbyP2amSO7/wUtKo6uqDKtrfFDri9aDBIOts
l9rSA87IR45P9z0N3uNijvMm5+l+EBp5PpR8i3HwSYkNp3598nScZstsx3Q7EQzdZABOAgox82td
EENZJoNGPqawMkISHPsV2jdZsoRf3NdYH5HetdNLnnQVYRFZfW2QQMsc2Z3fKRLH7WiY/Y84Z1CV
23Ld1jREsPsb5hcDlsLtKjAUjrO33i2VXe/UfObOaNvmkq4TRwNBaElICEoud3XdxYTOSv0NE3i7
sWYOCACvScVZpsQEUTlogSX6+Me8xjrSpsp9NfF0aJuVR2u7suSECSBmJyBpnhlzzcrvTRjXXG90
rumNxEhINHNnxcJ4iqXfXHqTnVzUftvcSZGMGwZjWHkWP1m+p0vbP9hjLDOo01Gy6fSFrlAiujKM
ZqCUQozGcW2XZQixx38vy9Tcirn2GT0Y9fWcNVmoUWhfQdmcToWrbQf0dtdyNOw0cJc0iY4mXaDr
RBdyI3C8fS26ESUCqoBrGsTLgz7Rdws0J/HvLZ8++uj187Geo9TCdGpR5CepftuOTf5S+rV8ib2q
vauGIkJUFKWXwwz0L6HsfBKttRBEXGf7pR2XbbT0MqDPATDR4tfWhDcaen+sKNAbzpjDE+hhfQlS
q6s2WmpD9bOtGnNTot/Jzo3NrYtD7aKaNDysZT4tlzbuzxzKuurV1JbJdezpf8+uHdgjNL5lLkeV
CRmtFyIVzjs6d10L66hK7yBvTaGT6f7LstrdQbdWNnqvQhIZUGOnOyclwtPl0PEYuWMbB5rdouKJ
I6xmG2+arwZZt7uusUAP/rc4/v8qjklq/Nvi+Ob7t/aty/9cHX/+Q79Xx5jAEbhZls2pFL3lmZT9
h7lBFc42NbPjmbZ/7oxXKqP9//4fy8TgAHgHNf4ZRPUzQ1v/T4ph41cOtO6hLEX0jj6Sotzmi1Es
/5RtVpiDhoksGa/McvXHBFc0/iSeIrp62VJdwbO1loZ5pbKfsQCiGcyVKc1W9rROGdWK0sOzVvH1
r1tlZGMu7dAMVu62XhndDPR3Y2Cge9gBKBm+WMoS157dcaMyyvm9l94g+DFZGZWPToUPbxt4WaGN
HuSmV4Y7GBVyp49eiaNPr+56Zczzzx49ZJ35c7tM04XiQg7BrOx8upzQa+mJhjTRq/37IvHKe4LM
n2mfE8rtCUyByh7oSHu9x3XY3itI6c5UNkIUBPMWkWJ/kTdUhYBjGfk6Yt5aieViPs5l8Tik2fzm
uqUk5KeO4sBagVZIdvE73BTJiyzzYQlZUJqNGY8GQlKX6s+Wyb09O9l21BFCBhrd2asWFsyVJ7un
EjEnGSt4WCggqChD3WzWx6of8lAX87d8ntsuMBlIwDEa0yuS5GkhVY3dfYWlTQkguYdPRZ6VN940
JjutT9aLtlR8kISaf1OMnqsYGST2ZGRQ3tFVyw5aEd9OeZbtkO7nmzWxs7BjzHLQp5pyIqmGq0oT
JAiIEqhtD673gZVx2OXYfMMeI+atR6zVYTFkde1KfbpiQVwOHtlWb3TT6ovMF/0DusdiZhnU8m1l
NH2O1s3wjiVL0jV8DX0nhatt0BRVJ5KpzAcEif0rWLviBwIz/dFAprRxOADdkuGs3ZipC+4ULyXX
CrOtnCufJdcrv5htOu7QcVabirV6O1U5YCfd1raa2c54pLvuVvQNjJu5n0OfOQc9JB4ctAua77+b
ZoYzXLYC15lGkG8RzoVqD1FdnIgk10Ec+LKHFFiuQanXI04KTAx4jd9GxJ2XZ8gllOTmxmpFHA6V
XlKKr1CaOzpdsyAIcTtS/F41DCYORdx4B7bQ4ntWxdmd3gDoSfN4vc3trKEPZkfau4eiqwyiuBN+
ICenmAOk+MNllTouh/skuUg5VwboAbINQ3v7SypK/aWds/nK8XN9m1jdcM0MFWd73cjx1Grx+ioL
DivEsTfzZYNG9BHFrH3rSQvLcxPvx9HFC693PT5nzoa5bfYE6IwEn/NMVi62dwlNBf2fvXG63s3x
XVbI+VEgsUkzuTgavmiPZFN3ReBJYa1gpCWnXKeNymeWkYa6plgPVSz1LcZte5tqjX7tJqKa9gTN
4QjEtr1tk0XeIm6Nb9vEMjaORHFa4JBHoKq180sXJUQLzd6wPGCCNGPmKYVGcptIDtSX5cWw4l0M
So3Uo3DUpD3uqoYqnJRFRBaaTUjdjZZ78TNtOJKsXaSDTWhJGbGSpM26Wcv6o0BJrmrUcr42V7dk
l8/tNN9ky6g9x2NH/kkGMDOiZRDPgOxEhqk2Q626Y5C3EtXEuOZkFLp4abvo/7F3HltyG1sW/ZX+
AXDBBFwPE+nLZvniBKvEIhHwNuC+vjeS0muypKZacw2engyzMgsJRNy495x9ChVEnAeqeps5JcCN
KwMryUivy4pyBbiXyoRuesCoxgE2Mepk+tyH7WROzmPkMvi+ozOq+n25sCuL41yZrYbOxEvykZZb
b6bDfZOMkfdFRJwXC7IZM32wH3NIMLW78SqgmltNqS55n2hzGCnhiEbTsHHR+fl3CP53TbKFfPar
Jtn11+G/9m95hdmx+WkQbn5/5e/FgHuGv7AmisU19Z82mWt+stFYmUBmF1opaNv/bZNRPtC9shl3
L2XET1ZH8xMWLP64ZYFt9Uzd+ieVwQfiHyMK5sY08XA58SkoSX6uCwQ+qggP+wx6mT6RNXOCM53o
6YeL8hcWR37FHztx39/Ep6Zasq/5vw/upY6xTcUIft4r5rKr0W1nIOS9G1Sp6Da/fqufHWrwV/l9
BJcFmqfu6vZHo1RJQimuBmvej30MpDxDII8kiuio5RyYATTc50YDgm22xYo2dfk3b/+ny7kYVjFO
uYaBxOHPlsZs9uzBMet9UgwPJlM7L27Xv/4Nf/YL8cOXt7BpumKDZV91Prh3mkabFM6gem8bwwOh
A080ZcpA0bylvVZ//fWb4XT7+N152Gmw2gm4g/QJ9KXL+kPhSESdcEZaAXsxWPURUZFBLp2v5cfU
ZjHOevGIEoz8OqS0HVl2FsH2qxrnP9Cec94dlRPnPDNikwO9kR5gtJON15e9X7MBL5l5rLfk55m1
Ac08B3XRUFQezCS3fjOTYcd63H0rxJIL0nS6+TQR4hJouP7yNS5061rWiuO5TK210qfxaaKBeEnf
ZVjkDW7D4Q4l54NjZ9FzPLkl4JPGOoVRad9gTUnvHJuecC+afAXsP7pGbmgwbICav0TvgSqw622v
5vnAhnKlEq3fWnn+TbjZXRmLL/QbT13DUHMQXn6s9PFz1IMg8vPE2XBGy1e5hQAhreZ6h3aBRNTC
WNttMnylCVUf3ETeVMSu06ij6SfMXG2oyJzrcaQU9TUnPJqR9eRqRnhMZMwopXVRevU9CDzNJ4y1
RRhgJMn17NfRQ+egSlceZaTfRyQAQBQZhxAZRpyFmwRm/BXNyUBJdHwhdOcLO9KddENHoJuWrSny
D2w5atzGCMIeaiaga+nZRmB6sXtZkSuiE7bDOGxbjE3jPIrC1Z5l2uMuKA1+jgf+8aE0EBZkTaz2
umVTQTcNNEKoz8xM87q5KjNYA2ZRp9t8YMDDdgd3oiwnAh0KA9exMnFXZvqTKFPSyXoat5qMTfWq
Yr2m3mICfUmURfQQS/oqRUyYX+jk0PNrdGOrIV4w9kRFXoahbE7VTA8gb9rLENPEaz173YNQVrqv
NWlcGaPl7POCewHeQbxVXTHuitx6lXS+6L7HigGfi9pNtLF/0uEs7Zh+NVdYwcrbJcTUBNtzhSGg
qvGYZfq2GYiNKR2bOjN2UDUamHN2jS/URRyS6wpq3rmNASmFoQV8NOxcY+Ub0edEpRK+hv089tFR
5CFTtmo4VVP6SEuZc0OPqlnkRX+B5jwlbaGny6QgOpABYuywTut7MC7Zfso7cbCrtr5gyMf4TI/s
8iaf2De4o5nB4FiL9JMV1tNbqzFXJEiE0x6qzYsuchCmjEh+nIyyaZ3kaCTTsHbXtV7zblFqlTwv
mmYFpQnpOKwktg2UOa9e2hVB6EX+LgrD4WKkCwjmQdHD8DW5o5QOefZhLZhC59AUKk4GSAwZAWTD
cTalcTkizdyGiUNqcFkmnBviYu248g1Q17NvwB2Luk6/i4EN7c3e+uzyvWpeFt2npQ5LxeVKW/F8
7ESJtyhMm9UstG4dDn26rj1iOpw5udLaujrRbcnWICHfSc5ovRXAeDxUYdQfQtgqG0PTT+Okth18
k32CfHdVAk/azeSXBlHo1I/QB13YI+2grSuiibdMhq03VFKEbssKOdC4JW/ZerAR2WMPTJvigHag
vVVaZUHY0L1DnA/WTjckR42l3pZS8Q3hkJ6vwyzFUGeF1fRYGl52yYI0HwxyU1bU769NCazJ9JHt
DzSZUAqH0Lt0eUlvayfZACCv0b9fRREK3Cw3ius29w5Zbz6mOa4+5OVQobzmSKguDUEGMOsw1byr
KEy/hlC5AMS0G1eZ4k3povotUSh5Ko7r/srOePZYEpybeOKYgX4uOxCkjWwYoxnGi3l4KTkp0wtv
eGfdT1DGZQ4P0EorxmUYomXPxlDr9KlmcYJB6qyJIDECI8sTNOJ2hnwuk93GAX7Jc+KM7zneohsM
QXS62gJxmJs82eTo7ic/LjMOa5kKDDGKIIF3t8mwm+zU7IrLzIqHesXZuefI6Gl7g8omqGv3i2tY
9BYWJfC6xmRz8BLPfciwxO8gVuabxhRT4PYTiNhUmAv6Te5VjN+kHJW9twFN3TixQcKihpjNs5Hv
xdMumySXv5fjo8HKtTYFUgIuUgYfITICWzcqMMRdat6L2tk4IGCfuykVnxGnyGuncebntrDWBFEN
8SqpmuZaGVW3TfOEOw/S1R4MHnmwJE6t2Ty/FWlrMilo0INHYYtSg85tn1isGYgviH7tcGMRBGsu
obDnrf7fIv/vinwBR/+HquhPStebNHvDNftzs+/7i/5o9olPjJ8ZU6JuoZqGCfmfGh9dHT098PkU
+vqCEuE//d7ts9zlvyzBivb5VPCH0NWCFGlDb2RoYy6v8/5JfY/E5OcCzoDbjtEUxAifANPQR6Fr
06dY7B2jPmKx4DQrsm0n+45CpvNOtiRM9WCTzozrhHaHvUkb6KqPsrOT9wwFLzPMUWvYT3FL+nGI
yYFeywNDpOyC9T9ObkmMZhRNPtKrPTvFURpRdtENibn2F/Ax1rA4J0Qr5HYmoXLd9UlxmVS1Vr4W
siqv2PYrYK2TsSMQrCdUXJrVNu+Hxn/tY8RPe4bvi08A7fdLP4zKu53Q21LfxPIyMctObKwzycin
3RK/9QvgSJ1ZR2VTphGCH7iSl52tyy7aalmuw3IlNITUsXyI8UNcZxKFgrtlXZmr6xIgaLuSY9u4
gQudQIR79l5aS5ucQQwVbwGChlkoUxDftBk4Mum99kzARsMqzLieNV5aNHcLCMTXh7Wi3cLaB1FY
/zIMWTvMm1TG9kDoHsUYBXKRlGFKWFgD7mvlqAIpE2AoDf925wt2CunNtaBkTCoxB6mDG6wKkOeY
ks4M1Vo5J+9zOE2tTaMuj0h26iPKUoptGo87Mx3D5trNO+2gY7u6RQYWoh7WrNVAvYszXRaovLR+
F9mVeZ9qDinkVquTaka35mSgt9s6eOjfmHJTKGYqw0k5yXWMF2JLhza9ZEBn7cpW5IeyRKOcFn1N
1GdROitogOrgIeZ3laTcy4tybTkyurFNnwxtmY1rh27GWnS4xhInKvft7IenBgfVc1hoHV55Yr9W
s9ZXN1niPKZlHp04h7S3g+zdEwO3/lXm2K2R5oXHppLjifuh3E59GT+x1pMXbpYTM7pKAxOuVE9f
2QyxSMXute+n4ZNE1LnHCaHdaGMI6quFe7Pt3ca6DJ0w25GWFM9rgwH99ISy2kaInDmPtWMU94z/
U7inoYzGwE5qawyY1btjUOLOPxSN6cCL7BCFgxbsDsM4N7shS6MnqyqtC39mugn10x4ehG+QXO1V
Da09RZPvG5o0h46RiyVnFZVFgX65xD3JQfAWWDla6cF+SKjM2kQJi9Hz6F4aU0UdhNOKwPmwUf2N
iiLsF+NY7iEoKcSIE9+1ytrmJDOneGrakeCr0K1+G0z5DNW9DzBNe0e+6XwzVZYIpraClkrE+Sl0
WnksxNg8RIY1vyhrzvOtP4zmlwRMwYU2F26CncNyj0M2+luRVF85zoV7w9brDXN2iMyhm9z7qade
dCfJnqd0jp+toYsX7Y2XPtcYONCN8IQ5WtfsdESmG98dum1coQcpkSnkXpztmOfDwfML+ziMLbUR
pA4kK7xWAwMYp9gbZxTZzF/i2wIsOdVpNTYk6KWISA1kphI2LYbyTmvXQiOPrBwURL6QRjrXpWP6
m8kg0vSABvtwxDdfrJkZm0/C1aybTmse47m5TyrNfR9ttEQUPEuX2B4Y6QRmNScPLiCUi5ye/KXe
wQd1khajZBwdfNG6V9PQ1Dwaqr2fGaCv7UYvvziKvmM1zOWtFfrzb7ityNA2NFq/fj5UaCUi8UgY
mx04dcZgZchxHcywJq7AKKnXzqaJzoyanGkkfHNqGBCxx+aIHzV6a0lU+JoNWMHavr7EuDhsbGcY
17JXTJ9lGO8tzUWrOQ7DdHnO3hGpQ5nZdabGEyekfo2+U9s2paGh4de98pQmLcanqjMwMirMRn0b
YwTLwhgZMC5fEEgmveK7chBYe9NosO77LvR+g4KP95XoYkxoZ0M4ZzLk8Rqm5rInilIt2YEAKhAG
T2iF+aOLlzUyirBC+yipfAdB19jHxzgZWnvtRkQsryIFRhM+DsVSG3Nyyj18DNVk4O6HcXcNOi/l
FrXLoNPHLzV73p0xONOBkL424IdGQZRQT9lMe3YddvlLrTPjwPcqOqtlY38rNfGOkNe8BL3QMmWv
6QpnfrKpMczxkDOgRi3hXeFtSC8ZIjvJKpm/SJ12Vq0vYI9xfCz15p7+sE7oYCODIqREjgHKb2Na
RRAkZv9UG025ASPFBJ9M5XaP4/o6S/toK1QcrolXM57j2ha7hPHHluf9SzIX3l1ttkMgSSp7iFw0
tIZsquOAqx7EYGhnV3bJ8dgmpxxFnx7t4R8jvnRyp9sJ5EQn7tx8TRD3cAsTqnmvx1bjiIBGnrJH
eE8R6Jkjn5BzLcqNoLQru1plqZ3f5qFmbzMTr7zBuCXQW31cT60eX4K9clc4Vctdp0a1FmrsXlEx
gOH1ygIpRPq5a43fkrpC98/2eNkPecSMoB0kVnM6RUVbQnDOJTYza2y/Gcy7NsqY1H2C3GJDB2VR
wHvwITxyxJgnhvcxmabXju52u8HHajK1SHQ4w1rGJpl9BuI0TzwcxVI7DOoCSoQkFmz4rdFF9hly
r9pGg5e+5whzNzik+V4977P0sq9NGrcHS2O7192Us6PN34Wwq1YT8sQ9/UP9oIM2WEN9MrdmFxuX
qGGSL37iwQbNpLbDqIsMA9zIKQHxcDTbJN5WXVIfFAXJRtEG2+PZWRjKVF6IZO1dasr+IiYOgedo
RDfeGZq21ieIFmNV9hvLbYsvHRk/AZ+dCEvOF2qSzn7oLTzw9tUsIPIXAssIEyVzWxr2l1qvTgoG
9KpgWBggq9uxRGtIAAHJMNNdSUmTI05nKowMsUyql9du1ZxcUnGATsI2ylEpImBYo6i/8zjHHJNy
jrYFasNV7WMTwQ1rgviVxxYx/zYU2ZWVa9qd347DLnOUvxckkK9nKz9paXE7NbHcYp+CglFqiCay
6eRjEsIKlGa7luncupsZ4ImoxEiOQWVX9NbMIuxaN0Q7mivWdveBFIF4PxN3CCjD+FoTe7th6JTj
gIYGbMaVzUaWSvYDS50G0/C/xPlUb1yN269stb0z9sXJ0ZAh4WuUq95WIDf9Sh1G/Cp0ZiNMBPHs
HfNuOmWx/Rm49uO/Z6n/l3BiOQX96iy1DEyOX5v26/STsPj7y/6YllifuK8c+vhiOUudBRK/Sydc
m4kJzaGF66WDerT/c5gSBuJhw3U9qHQmkZKLwOGPA5X3CWE8egv+y9lV6PyTAxVTlp8PVPTAEbHb
ACI9tOuC1sLPHXFMOLQL2cT2Pn4XSAmNxdQ4Kpv0gtxq+wKBY93fR3YbUlLEUh36uOhOFKN9vksT
g3jTpgErucL8QDZ1qKxVqPCumhX4NOgFIuaBafWdmxbkh/qoruZRG66j1JDWGkB9+DCahf1CC+Ut
g1oe8aMeenod911azqe28R9glxPyXTBcWZVOFrYrNMjQZ+hFXykwEgVnBw8pq1NawFQ7/cUnvJZs
YS0274piSI8t4vwN+ytAnooXDg6aLWG743UO52ZtaIZxF86mtslbzf/Wmk2pr6hvsVH3+dwcoj5B
virGtHqzeuKc56H1g1m0yep8oc55cY0rf+P7j8lJaXn1YPRMldNm9nbMPvwySHJ1mNNEBK6leGFr
DyDoTca8CRubn/vPfTLXUVBknv7CCWe+cqrex1/hz/sc+vQedAr6Zk3x7oYHI6hItGnbxp1PWHNp
AVIn2NFewb9HQzi0DIuwGTBPMKtIe1XKsu+x7uQ5RzLLuGy81td3g21kT1OauR6HLGW8NICV4lU6
6vy0LJfjjVdl2rdZDrCXrDo8Yv2Q7xqHkeuKcfDu/PnY8ZsDd3YzrfB9NQczY/9YFYhRA9eBSb3V
G1XsFESEoPRwg8UlF7n1pm5DjrqSK7eLTVqABjXFSnVpOlzi2MOUHmZGOmNU6RZTnQ3WYgerg9Zt
ArITWlOZHmdRHvpG0HHskp62UxyZL5Wme87WqCZP33GrMJtj1X6hIGIDUG3LQW+pj9rWjmGg2/Y9
otnsqSGr/F5WzfRSV7K9xAToPyRz722lZTbOmqa+xSlZRRdhDeQ/4VhBETXZF4z/4Hs6CbQxINQx
4x9+yWRGumHPZlvsSMEUKxSTKIsdf8GsJhXE4GKYdp5ofazkpvVtcCySdcImz0vSdgkCxarKIWDr
J3onr9Os5GeBGam2TumYUM6F1fMNr/qmdJNNB+/8Lsz96SqehzSwaMet504Pr3Inj8cAbLi3Mzrf
wAUvraeMScqOE6ZWgkWWZN6OXZx7u9TQ2/uuFC92l6nL3NafC2+ckoBpxSLPVbNGIjGZxVCw2NBb
w3G2sTeHSEaxEdB4KI5o9gQh4MprbuY5K29bZ85PrWbh3Zqm/NaOhXFUUYF7wKyjTe46AiOt022g
F81HKWoMvylScwxRtvWISJ2BWz55IwdAhweVUodqBIk4ztqYmwqu9bboelLi6ZQwGggTsqCGVtvV
ldVeKXRQN+ix0gs0HvYtYl0TSHWP20Z3W1h0gNowuXqaT7uVdB+1HkbdfelnLb4KDSP6MjVJ8rXo
SKif+Ornyk9xN1pEIQPwkQTiJUQ1BTqveZtrn5BILWnGYh+VeX1PXYELDlqc3CjZWzH0+GJ+HO1J
R+dRg19j4EKMZlU+aY497cza1c2NNSF/XdH/0LVNMc1Uwn3WibVJUvHGUoVt8Cjbg8HRbtDXveNM
F0NYlSdJdPazz+9vEQQ0j8mhyku3XTtzxMEpTCSzRGeJEKJE7Fb5kmu00mulcHC5JVyBomoCyAjy
wXFR2zOxRMJsNnly0ePumwI6X8RiJKZD8wRKbACBYNxhtSqCYcrfSLaqN008mQSI1O51OSntIU0z
Fn9lynk5UScWb5F1oOm8ucFoij3ART9Nr53FHEo3q1LrqBA3KCtLnXYhsJA8PWb0qtYmCnpiRpan
qALuez/OrFHNkIPK0AggWfVm2bNqTOwwTekUO7zhzQExjSl4HAbzDtI6b4Qoe1wXlK5WkPXpfDXo
AwJY0IZ+cc22PYHdSssJ6+XckQhVzFeNZ9gX/5ZL/79yyTFo1/7fJqzrRRf6X8FbU2bxBy8W1Q4v
/aNksj8JmxoHtiddXpyaiAZ+L5k8XFXmojzRDeEsJAYUHn80oJ1PbD6QN20QtyYv41V/1EzWJ/4o
JC9cpkwwFnPXP+BpI7z4WDMhIrAQn9Lphu9gnWkMP6gI3MUuQGM22Y/dQowy/FQSUoZDcVibfYN0
rusrvQSt5ErnEJoTDBgWMd9jlsdNF5iDs5gMZu79TWmXUY2qsTSGBhUpbkZInBDn8hh0MxJXcagw
lVwzbRKHTmDpxVbFhDbjGaEUW/oNQ5ItBLSF/IIY1rv0ZUg/uvWq10qfoaL1SYt1mbG0d2lIxmRF
Az2PuoPzTFlAc1qp0vSqnQm2Gz92qi0vOcfHpcgNb826w87Jo2PihVhwgF0LY+cMs8ljY7xrCOA7
LBQrSEPV6BLqZhZpeSzpinhHx3cBF3oLCwtwH8PkhX5nFBGsrUrgPaI7B/ovVQtkp/IXoJJpRqRe
0vh/oPa139wlYq4sNbW3emk9zgNcxMJaEHmWTnfbyeHLRSZsT7xJ0A4TZ2HkgfFdHElQkfCmYAV6
T5qYK3BmkRN2Wr0yP6bnM1oNf0yMgGrOPM4p4nWMmfkAtgFECS8K7wazcgEJLhxSRdt3Zkcf+a3F
ktbppRZBionO7+5nNngANegWLKw4vyggNFxbKXE8HnF4q2aIx6skjPuDVfoEAMQ021ffM7idc3Z6
PuZEsHFfc4W/f6GQYBg5EFjiP5lq+YaZLoy3fKVt+wLyD9vacEZzj0QD5mu9BUZ30nKOk6tyouXL
vST5q9dmwMNsGt5khyYan/F7MN8w4dfBneNGeHq7nJSKapm2PrPzki4HJp5ioR/mbzJcKKZ6X/hP
UzbcYdi2t1MhHQG6DGYd5U5ycntBvXMmLlVGDshQcAOOclju2pwbHbO3Crc0ePlJMxQMkuPh8sV8
EohICGgXXNvAP7tdz92AEptv1rc6CFgUW9YBdj8m/sx1Yc2RysPNp5kLHLU3efSIJ+ze8VIvpvkO
JqAcah5CojL4gsvK48Dv+RDp4NXCsTgWyQIkSn32rE3PLYrdg8fysiRmQuxdNJcHLcHzgivF4nPH
swI5lS8IOIs9ENzhgHZuFRoKXva4+PSLeWGJ9ct9Mvlj9aqWr8izOoBJtqpePaPlh3ULUdCnnN8Q
CBNDP4HGWAkQU00FTOp8C8caIKopBTfM8AGG2nKThk4/3g3WwsYclrjXc2AuCRBEo0pE0VsijAGf
nUGFHSQ0K6gyjxtGLUjrjIAL7oDlkaCEjHdOjAg6mCQE81pn4YiNuH49g7Fqu4JUAFbUeBAkMT1p
iQ6UoGoTsv/AVMBlgXWSfcfYzuhndpm0hx6FCuhBVycWMm4X3Nyi5OZ50HVuMG2h1uJN5/qE4Boe
enpNu4lQTPouyP8OZy7WsCBI59rhK+zOafdlBWZ7lWkelF7lttK6Tc7Bo1rDlIIdfvbXOpm5e8IY
9a2eJf4lpn0NoIbUmtVYpvy+1ogyfTu34KE2Pg8F2r+G48hqhvx/l5vlIO+mdsQYm5AxHoPL2FkY
z+7SBdEFHRdSZG5k/ByBEudA8Iu3TrrSfNAXcHUHIIsrmIvxrgItRjqZTOvXVAesyPQj2oWdNB9c
i3veAe4QkhyVNPN9S8qu2I+0jg/WzC88pil3lOZjUl9npmY8hDoc5GNUujZwuSIHjYY+Ot6dQdRK
mODKmB42+2whGbYxOfAbaBDcUxTe3OBkx/K1Ni2YSp2wljgYC7rMtQLlltjTgIuwyZnCIf/mfjHa
zt+UZDq/DpzIoVjgBbyOS994yHPUHghmqiXXxV/uHNfIyglTK6PKwGRw/x6lWOhiaXN3L41s7K/+
UxPDnrwQFfhAPIdYHc73vIB9d4494FPC+uKvynWgtS5QVqa9C0RPX7aRfjDqDquuDeQfCBbrW9Ni
w+e8styP/kQPnmmV/6QxrQl/X9KS1oB2Vp1xsHboNeqQeC3xMvW5y1pxlr8VDk9XloHE42zA5QWh
wiSNf5f3nngaim40gpHWqNyeV9aylIazG4BKPxlgGIqnIYqm9JmhCOtEJpZVyugJ+haMkN98/LSb
RNX5yZDKDLyoeCfuzD80VbVsBjVcGxChC8HsTIYd5oUyijibJ5jeb2WsRikLQ96Yk5z2LD9Wzggg
Aj4A5KFEegYXdvYv8qLtAGS74cioGNFWdpoTdPd6zGkdpKgWPZ0ZuEXHWekoCp2nJl3GGWT95s1a
ssSUxEib+CKwqTnvZZE/gZNsjn44Krh5ExYr6hDG3tAuD6W/bEStU9CenaLqgj3Gu0U7r4c8u721
bWqOMzVg4Gtbt8qLFiNq0GPCe4zd2oYCWoSf687caCbw6RZwd9B0S/s54RlYqdzItWHfddOhlaqC
AOejs7kllI1GqN89F9gyKqReW43myW0l+lWSu3ehifXnGRYRqJiVS/ZeeKDvn7OqYrgGC8LZzNLx
dlc6KWCmYzLLd6HOQdquRRIQQpjvjTOFJ16APJpIrW16pvQQmbzVF3CPnUgYPgjuQRvShZHTdnKm
zN373JZNELWKqaXpSv+is8R8442de2yB5Z7ceMQ6w1COgxUcIbEAhTQsdzfxAhliJsvdawiKEulh
ZvYSaER6RQ8YRg9t/LFnCAQg1Vq1mj2+ZaJMHgHhPBL7WmeXWd2KU53KYgMgcPACMTf+1uut/ls7
gUeSCyipHXxzNXOTbWrbjdceB9XtRI4axoy6xwEKbin3FvKSENhsFMHEV14jQYNzvZz3pPOK7ayw
GE1ZrJMNMDz6flJt0xjCixsOn3tYT/YCfQI/Mt1JeyogbmISsFKmo2ZnN6dWjyTlT+FsgHSMX3DY
PxAQgRgZq8qVF8v5lM+THZSuyrflpIld6PfoLf1YbBh3P9S+Qp3anNlVbV6XV8T2skSRhR3YA9Sm
iLrhqMDUMnlotL3tl+0hBbh0WVpMobhoBe0IoFmjQzdorGtvo/lzukpYsdBD5+kt3i+0FN5RY5Z4
wyZA5pboiy3Jzc4hW0BdcGsCC13C3gSks8OUQM06Vf16ZCS3Z5YmmcVN2muL6HqNtsnHKm2fVJyb
664o9LuUvtolIPvuEb++djmdeWLamS02ULv+1p2JY6FpIuYbi3qXkDf/klC+Rys6/cz3ktxMH8wF
XuYOlnatO4B82HnddeqJrXJtIs4Yb+FIdt03Lc1fRm1pkRhuhsK4adqt5nLbkCeI5oIZi9rpC1LN
XuBqLP4MLZAF78JIgl4r7PdqgbGZnTEExgJoY7UyDhMj6Lew0RnVhGU7vojS3FBdN1SCC+htWpBv
jBOdh7BmRWHlb/IN2lQ6GrHp7vUFGJfDYl+3C0TOHjJjuMRdhwS0slTClL51cFcxBrL1u35IM7BS
DDjJZ3RrWhV3cWjgrjGSfIEczG0fvbP4R1uZmPV69owKo3+PJiSSIFBBsFrhrnOkxsLUxM7eS9Xw
pCEnAx7vwH2n7WTIdVN1nEAk0xKnKa/ilucixtD/VDledpiBrkCMmtIt2LmZ3ozOPyYuDlTcLo9D
NHrc4oR5C+0YI5wm0S9VOYlqpPtEC878mvZR+6xJX5ER4l056FwCNq/wPlcmvcWhdZqV4uyC6a4m
ReC5dSqlg8qk53fUamM21Z5Vy8ehZ0EixYSjUTlFHNzCm7DzEdZU6MZX6GtL7zWsM8DmYZIMcOe1
YdJ9QhRxUCMxhCU9M6HPBJPOiHHnQGMdLob1ijWeXddU8FsDDwFQtKVHZucXtd7w71GXzsZatxFG
cfeYkGxtRQ0qG0m9VgwthYhDkrQK4rrKpqO+xN2cSerUolmQL1wsiQC2Wv1w4v8L88TiwPgRVEgO
1RLXgRgMwTrH6A8ODTTbsLu6OAED70P6zUt67c+zmFX7IpCd1Fu49lQjZYF601kNKZvvrz/AEk38
8RN4uFD4IEt2sWUyWvnRAjBIxyhns4v2NmkJSyBBG8VrhfjGvGY+LyOKzbDaxVYso4uuCueCflQb
XkdFB9ZUB5OKppuq8tef6i8uC4Mgy9Yp27EmuB88JYz+QtqMItp/TyFCyIO7Ki6pSc8cWHrlVD4q
J35+rfVR9frrd/8QLoOrl+uBT3f5HyW4IT4MgQoyOlRBPsjensDs7xOjnpCBtrWXJ3whcgLtNVuE
ND2kQLkOxlJ+FwJG3kUv6sq8Ec5Esw0uUhfJfbecoKs6KpJvZ5D9UCwQ4L/5wH/+EhcUp+1iq9TR
03y8Xr0fxZqFinpfhD0DGn8aVRtIJ104vDYwvQC+MriLsa3fcpFOd3VHrwI+JQDycmzu8qL+bi7/
Mv539LX8i/vaQGT54baCRmMJa5FAWsA+P3yDmk1OJWxmyfSF4dPKwYp0d4bLt7R4WjrPy/F3MEly
EHBED1XP+aJAMZPtjIYtGQp1tZzBuLK/vlTWX32wBUTkwCLFu33+7n9sVvV61eRNLfeVAx+BUpOz
l1r5w4DUa+XGVlvcw6DxxIFYCFaMkXCH9NgLs79ToveREPYDGGqdtvgK0wx1sdFxjNViDlGRmCnf
4wiLYRYuCWHN0uspfJ0nW0NXRmnqNqO6QqrRvX8/lCIiH+/UvHQBiqkCrh7GSJuYgI23Sx33ds5/
KuaW3vHKditOQL++HOaf5p0L59QVjkHfQDj+xzQ8aWik6vSutrMksEGwPnMhj55ajjpnajsLv385
mV6v3RfmTPMEbQcfa4rVDJXN4WpFlsHpxJ61LEBPwd9ysfjrCLgn2pzbQ5YJ2mY1NAldGsIho3hf
AljMyYEA6b4h3qvZz1POu9sm7mfMwhMKco8Dwfv5l/1XBP33ImiLJez/7kTfyLj8aWTPdsQLfu8/
e/onmwVR15nLw7jD+fZj/9kDEsnKs9B7WShpMv+BOzA+0RE2WUQNpMS4A3kQ/+g/e58WVAG3HBBa
Xo5q+R/0n42P7WcX+TPKAFC8FhPkswj7xx0MNHrUy8K2D5CyqnBtJnN6J7FVHCEl9AGiP0ZEzMe3
FWrLrTGM4dFjKPPqo3l6tAsaw8JJ2md4QO1zNDKL+uFK/sVK+HEr49OZOr8+H9C0HDIgf95ffcaB
IdYCcUh6Ub7ZUkAZQI1zWdgj62IdZ9POr/Q+aKuSmf6v35v9+8My7CGy8HiwkUnizTzPB366NhKE
DeLfmnjq8CUnboM+gIr9q9RnarR2KiC5+AMBB1qT416Mwo8fDfrDn8e5mN9d1XKUqoiIOEZQejep
o7JdlzUq3TR16Zxc6WHhHynVD/Diu0ujsqqt0CuxmhtF2saYYw8hNiy/keakYxA3erQ6HtUhqgAQ
xkrNCPHgr2rYPTo4sz2MzVd8MHhwaLmtWPYIyWkFebus0XfMAgtOUqKgqdZZaMhg2/gy8EPJ4T4W
+rOGe2YDb+lBIc4lx2WuWXZcpyquG0EBocml4mxKq99PLMdBCigAoV+H/nB2h74GuuLIoEI1T9j4
OL38D3tnsly5cXbbd7lzKIBEohvcCQ5Oy56sIouaIMhiFfo+ASTw9HeBkvxLCvv39dwjO2yViucQ
yPyavdeuc7/Cbo8D89qZ85is90W9EMqBbCIz2UOGmH/0BAnHpx63i+Uwo8U96oDVuiHFPACgEd3j
1uY9kLKUWVGOdf61bGC8N8wU+shnXLKfR8gHh8nWhHtnvEqPGvMVS9+uQzS8Mmn5Yo1NugfKOo9n
Ev3KhIVerR41i+Z0Z9kz8KnMtcwDY6vYD+tYMYZHNsv8Zy+T1b7C1cegI0kyMZPwQ1vCKE7yayXe
6eRMQhhhKSndZ8f55uWLT9CyW98Xda/JySaggtAhLi7ZE80cJqa2DhgG+0Ov2CovDO2OjEGTjy4V
06EwM0Ag0xTxpgZnV3jV4yqWCSFKM+aXNffzyHeUR5KOak9rZa77oGwVISJ9sx4UJSiUyBzr/I4B
lla7qauHI1oNC4CSry9EecXPdr51EXM6I2P0nPSHnM2JNDVceSQletUPbrqiCcXakZgGaxt6L5yx
LFym1bFD1+vdfFPCPaWJkdu3xN2N6CHzuHLnJ6tHKtCGgG4bJOWsRBLUtzGGUR/ixUedczED0Ojz
ozCb+YNxaGWFE4E9LGHbumWaAeOux6WQlWV7CmruwLth6OPLOq72GYpXPn1zdUbsChrk5m01bDXu
4mBE0exZnaG+E1yal1EfqC7ducgQsr0a+9rYNzg6cVJYZEoMaCSt/QjNO3ta7GZZTmgTkAQbcb3N
BOue0Kp+JIjtVxYAwCUwAyJBYWlALksyF+YJWU3KVaDq6z6dszbqGGK9kRJAkAM1F4+6BhvM3L14
xA2zHYbM50LE3fVdvo7erRhJXwKLEfC39dtnW1KUSX28WjMzmCHeaiM5vKjMzUFSZBM/vU4wnxMK
sJ6yZm4ZJTjN6wwxho2GMzFqSGde5D2CBG0gFNbju5n3o3lD9oNj3gYx8/5dK9rmjaFuAA/WKNmr
b0d5wCdnssPMZa/yT7GOoaZbnYkVjwCJK82umO0VGBvhPzEpONwE1vLmkM9gthe0xSb/USRBgK4b
vGAC+rSx1nn6Vie6zAbkUk79Ni6q4tHp1+Gq6Vf3thssfmJ61MY4zGDP8hCiRXvsoKPcsQOaNGsB
kozCwco1Y5KEPqBpeLEyEHt3RLqAVGO/2DgRISLTGb+XQnQ+qbS6rlCpAq/kJ+DZhatyZm7tT7ey
gwdCo+HEY1TjW/mVecCMvCjri2BXJiuG48Z3F5Msp8Xvw7Tz5lf03c1t6i5Y2VDkNGHsm+RqMKDZ
F/PQvA+W+oqYyz2TvpQ7myhmfhjd0i4jA73+dPQZ/WLCJEWDYWADJEOCKz5YyFtuUnuKu40qW1+n
5cy8lDGry+pqdL6T3I1kerKtFHgyPEfRQLkoLUdfyzJvrgATpdejR3JWqDoGEbqDbIGtuLfA0Jbq
HDAiAk8yxOgnuGdWPnKwRDJAFB1aXeUJ6FwDDk8WswLpicK+c6xne+H0m1yi+zjH0UgnjjxgRSJv
vLKHl/8Wjv8/EgYLmhQV3b8uHE9v81uW/bl0/P2P/F46Wo78hbX+pglwbMdCIPCP0pHm6xdBc09W
M/gq/hGqyt9LRyF+wWtHJDNSTCkRFcCB+L10tJB7MjhnU2nT5/L//EcYWeevxRleTuQRG8NrM+z6
klTZvxZn1G0lQ81EPNFutiR0rhXWHTxSTb9bSxqfVpJ2mWZl/731yAtM08J4FEHH8yeJJwYni1gc
HaBbo78q5wgS/04FRstEeOK0M03+Pa6RgEslVjG7RyPVFqHRssVtMNIcWGltlCx6XGGY23ypnqMM
4dGxEUvxuOZoF4OEaoMmbfzBcpU5YCpnibEpS+90DVaHdC41kzuxWbnsdMmiJOVr26XJRG3ZI7o8
QJQhkWUx2ndUSfkb2qDlnlgGKyKOb3nldOsxuieFRwG4qh8A6CzEqogrEmFaD0nqPmwpiARiloP4
OgKlLqI/PS//pDz+ZHb8zwTs81dAKw7vggaDO9znMfhzhVqtzOexcbhPa28HZwft7b4VEMCIlNTE
W9ooLrwwE1Vw33ituK7nTRPAQLNxdllhTseVmf7e85zmHBA1cbPGTspNJZsPKysMtirO8Jguht4z
zM9vRkcRiumnqnwuy9g/JtgtDuNgN3e+339F5o9PuJ2vPRRUhGmII3uPj7xzu/f//UMHf+26+dDS
9LYHGCiLCQDm711364MLis22fpIwTV7xqmORaRrrG+2NvjeoDc/kTfVn0gYUzLK6EiCRSPEZuPtu
9KjN97aw+BpIGdF3LAqKy9ygEYsX/luHGOgHd6Z1hTBgvkuZqF/jr9P3jh8/J1KLY5Bl5XNRz9OO
5ax5yuoZ47kBN6WYbDfahhP71ax4pm1lTlfman/U7nhNKIhFZFfsnLhs8FfJ2I4w8Rd77cxij2Mh
PTgZQpwgv0jZzN8x7aEPVfb8HScca+6l7E+9IjEPVevErHdTqjL74KUsbj0QMrxHRXYq7A8T8Gwf
bg6iISoQwF35ksU7tyh2lCwbuhDJZ3A0117sBDVw5NXk2LFgcLuQSUx+U6V2d71ANX1ZVN3+8Ll4
cWPOPUte5OfdSa8eqIsU6AkaheyqhEZwg4eJXW5tTTfEPfHhhD2iiejSNT8tLI02jXMiHg0See8G
ZfGFiixBEAH0Zna2d9Mo2PZM8/Ai06F7D5htXUvZBzsz0frfBDz/7cxyIPkIvPmmbVtMysWnvfnP
L4xIphjKgWc8prD3H1SArNiwBgTMevaj3huDHcNNnh2q6u+z8NfdoAbaNDkv6QfrF0TLKIsv8Fy6
F6+TLTvm0qSKab8B2ccnAzjrawV2ZQcBhJ1mPtn1seR3f93g9CJlIllJqUj0nhBV8YgcnqbVYykH
9t1Ybgj+zXYcV8thQtK2HagIlHsHl9neUYbYZya+GRrDSd8iPFwfPh/bNqeszDJ3uek7x6KLbGKS
p1B/+0ZF6w4x44UxcHeb4QzKw6pNmfradp2912ZxhI6Jp3YkMiMN7XF0j4zNC29fUMnc+WbXLP+m
nRfb7Pd/zqvt68ea4Hvop/F1gyLaXu0/zQ/nzhpgsfXxI1gw+C6K+QZFYmc84VbiE1iovzH4DcaX
fMloDhzdBu2N7lmNH302+wtbW0LBQ1EiJPcJvn2D14toPOjmFhoaWT6vvWRbF5rkmp1R5hqH//3s
+WcfgPEOP9Y22/bENpf58weoKYt7K028xxK9xJ7oTH0L6SIhjYaswXCoOWfibd3BbIcjpk5RoLp+
3b4RXOZcYbuLf/Lu2RzMS/OGV9W6xohYXFLRomrqSj/+QsQrHUKKrs3/N/OMz/v4b1++9CQDJwEh
idX33372ueozmtfZeWxGh96GTWv8k6eZFSINSflsrdl6A6hc35XeVB/Vp45f1LV79ttsunzaHlgb
9+fSmftz43UGbJ0qOAazVBB8urG+W/0hu/YEn3+ughJNPcL+nxPXBL+iTL4PMV04KhV/2hVs8e5H
ORf1EdxVv2tzZw21wPOpxjF+EQQCnwzf8C9D1oFq9z33QG+Cb71M9SuEy/XYz1N8zhZ0hnhua3+n
hNA/rGTgvBKVJBpjaIW1X+2WpVlTvFsVQr/UrhmWFG17LuUUv9Yerzo1gb7/fPXiwEg++pig571b
8D+OJHZeVt2Lx1IgBIqq3J52gejSD7MdCOwx0/iVJ2/6IctqO0G2r4Yd9mWESHkjTeTgoaw4+dqs
Z8kqquKL2YoVT17nZpgz8u9Qb4jbTVJ9LmaBQroXZFvLUlyneh4YBJT6NrdgB/ybB4Ei8e+vIYFY
1AwWOQOf5eDfygbO6mpEVdUx6bMQWSwmL1j4eTaXs+6OS0x/+LuujhTuA6VY++YCUX5YLc6kfVIN
GOQxXZOkW16Ywg1oQTC2wQk18qxiXFIfVFdsrytinvdlNsuvHP/qHfvq9GPMPGlEgetUuLbRN2TH
mnLsZkKFgq4fx1+oZU3CJI1VXB5Ki9juMFgrRhcJXsFlbb2zltVXPTcWEvEUEjxtNaq4zjUebF6s
ORpGc/xADcQRWdQsdgkkP2lrHY6StxYmfraVnNvvtZ0z9YLo7AQrcFoiTULuPrCXF4sAyshuSJjh
50kB3eS8EEi7eFhzMcgd2Q3ed9uT5MZOU3FprJz5QFAuhNbYIK3WTqTNDWwH4OItMKNn7oHseTDy
kqFUO9t+2GRV/jL4MkCmVnRuAlbFM4EB2ZwG4ZAShG4AUns0pnkrcEjivJg+JnVjqNyoXycaNdCI
aq80a1s+LkzzEOE7X9QwM8QApYT2IVxSCAx4SwYpI7Yx9ZckUcM5NiW3zmrl9ntqxxk+KcttiytD
4W/s6B0fEsWucL8ybnuvShxTiA4Rzi+c7Cgn6tW6ThysUBDWC+JtZggxhlxSct0t2/7GNjQjxMQc
1wdCXmM29F6OwpXa8kTiTUB/OazrT+i6/tnHFIJ5mhV3CETTQhjar/Neoq8i+tHNGOT0UO/hcPEa
ERlvo9NI+kgFTmGEThubLOfX8qfnISRtOnZeDmUrjPWCDJhyhnQJnTa9F5U377gMAr6ZYFkfPm+D
/65Eviztj//7f94+KuhSGe6o7Lv6c5vK3eFyZPzrzvau/4HK7J/8kT86W1JQ2JcRYC+gOLr2trn/
AwEt5C+OaxOdTW/JfGWjTf/e2Ur3F0RYwRZ0+A+P4++dLR7HgIET7kbm9CzkzOA/WYqwSPnbAemA
q3VZwLBDZwLN7uav13wxjGsxjwFdZ8HILNjx7OsOh03h3gVxK+WDdDsShiG31T34soDFD/CQzN0V
MVEi1AR4FBAUE6LAsZoVyn7EVQ3M4MVhF1hQ46CmRFVdFycmUeZ8r0jc/ajMFotJiNGZd4gqg/Rf
MVoNQqkmFYU/HZtAYn1Ku/xS5bX1005A1IRYlf13Q7BL1fRFF6+QFPlNwq5RAeMD0R8fiRdbIzso
zTs0o0xoa9sdx5DxNG7ptWwx/K22NL56pvHua5ewMRQsOIgDj6CIKTtn65ojN5XZ2Zuc8dd5Gxyy
qAjcsK/d9LH3/AL2faOXe4CAcUAoCKXG3m75xOwnVvJ6B+C7UWCm6VWH8SqZMg6VZHbfs3lSXwdo
UPmtI1DgYi7w7rgtQQUuZJQgm3QRgSkvTTnTAh1M4WAi8X3yHKXqiN/E8i1esDYb8CfGcNFx8uRJ
+BHh0CzwYxZ+/HPmxunVOmsUSqwRnKMrtXlOyOjbB24BWctERGQdPORBrDvIunlZeubKCVB/6Aje
VF2MocZ/YTjEDeyqeKUyLmZvDO1S8kjka8ZYzdMp4M6cQVsPMs5bXlmLdLDtep6snWDcraOAwiWi
grcZ2NKfE7iT/vT6Uu7TJCtOQybHw5zQQTqbn4ydhffQrexdKCGLJBKLgjnhVv2FRAfwYlVnPRhO
MO/rqXIvsfS4efrecT+2dOBI89LcQjxaMSstTZUCxF8YHhy62mivSbJAxmfWo+m1F1HI2W+xkmPx
8PebmqrdMZSv23tZdOCP1jqzZGja6DnrMCWbkYVGNchr7HM1Si4m3L5P1gRwdRlVK9/eA9FX/K5W
a/KeqrbOkM8bOmify57EcyDKZIcsKYCLsDc3F4St9WY4E8kALbuJ++AaTGD6UXUe86G89EgkLP2l
Mq4niM0DSmUNzsLws2uKhfTKjev5TVSpC6RjmMf90tbVctbEETu7oRF1D+3ZNdPTkkO9QZIpS4Lo
rEWRgwOyUJ3MvvIOdZJl97TiAEPSbsKd10Bs5s2m5NxcKEumoj7fCH4tycjT9QrAvYuEIUH/pfw2
o3bagnXMz8DdfLvi7t16C+Ltkel5N3qtQCkNZPb2KDejNLETuOjEEeLx9Mj4LQ0vuzWappwONKYk
ATtEwKJk2gKCBWj1owp0BwTRHB5XrfL1gYXYd+Mzd3j4zCD2yVZwblVjU5Cy/ajUIRnJPdUUTTL0
aYW+UG6L5ijjtq+P/I94DAKjVurESbQ8gQDVzVk4LooFli/CPZZmKmYInEwd7Kbtf5Li8NUZXf/a
zpxhfZoKQabhXKQW7sZ40ZHfGkyih8FkeJSLB4kMBeqODPJqnyecZg55lQQ3dflx1bZ/yQ1/KYhm
MLS+1haR2h6akTXib4LP7MfDvrSSLaqP31VzSCDJRGKV9oMBxxrC6JiWkRvk4qpxiZC3fXKg90a2
uQ5kqq0v8MUzfC+l4PdcyCR/7zsvf8MEa3y1+3JipqinnnWolLxrUk8YLwmzqyxIO2eiXPGhID0c
9qTjJP0V/4CkfjE2PTbdHKl5oeujmbpIRLeCEHq8v60Z5gutRKRxHu/E4EJ1dNw+2bIP2+lkdL3d
7GPI8ZD38K9gPWnqdiTHBeD7F4uU+Gd8MS+IoghW+s38ENSmOLn+7D24DkvPRCFrVSKFiRqw9cQk
gkIaJmWc7MAN6sc6HuRtWYlxIo7Oq6ybuW+aGxSKbn70u8b+1in9jTEKyaKKkFErsjIAUrtpMtUQ
jsTTjDfVFh6/LtbwWOUNQaUEoujkwdJT3KM3luWyLqfK9pSHChxSTcL0Y+DUuGX0ZP3WXf+3nvp3
9RQzdJrxf11P3ZMoTR8zvdXZ21+qqt/+4B9WRwn+GhOht02EITBs0+A/rI6bCgU3BbSHTzXJJqT4
o6piX+AGLrNU5hrBhpX4x77ADn5BF4d5ksGyjW0JQt9/IDVhLfDXqgoC9cat8CxTbFMIdwP+/Xl4
UrJbWqvWXE6OVxdLRG3DI+6UW0BYTCzOZrShpSMmp68Os3K7IBRDT4fuN2zo1w6c7I5xm4Hdd1Cl
E6XsJowQV/fI6vd7C2HpbnYxNwPNMyOZYWQI1wpWL5ftMCCZXWS0uqUAk2UP7Pe9dUF+D/8JFTy6
35VBoGiesQhxy25WazYvJuSUdf0aCwPrgsTUuO8DE382d1f3hKUO17b56eC29Gbm/vR1F58e7+bT
702RVESw7uNoTOtT5q3ZDxgRyfeZ2cCN5s98c5YmHyECYiVPP13l1qfDHK0iQQLjZjxvNgs64tLy
atps6VmTqhuGpcbR2kzrsQl2Jmw2KzuVXgGfN8mnnbNZ3fVmejc2+3sJoVCHAU0T/jLs8X7P1wzB
FUE4ew3zUrswX+vNUi82cz07mgAEBIb7eQ2qe7WZ8NVmxzc3Y36+WfTTT7c+zK/6guuWu3oz8xdz
6h0Egh616/3qpvasxNwvngsBoAf1TIQxbgykK+p6hBTAHFQ9WbBNQVv0MSQBgf+tRd0OYKDuR/tZ
l4U4gGD1j7iJckgEaxzfoJcF7mybwAEbpiyOMw2PBBn4JMe6sXOxSYv6yc1Y72VlPXrTPWOoOhpm
2R0pfO7lCNJ0qw3sTZ47vloYCb/ia9J305A7u6CCTj34akfyNIFQqaqOdq3LS1CC2Q3avH4ge0Pe
wEd9ycDSRciiiwiP/HKouyR+Wkan27uGU51mEjDMxlK7gnSRx3jszLvRGLwoxul3Zo0N7YTNfSVJ
cU1Hs4li8n9ZSExNfMqD2DkwRi5+oqr8bjGTOnBfxQ1kjtJ65CGnhyZrgeQZq6J4D0iU8p2ZSC8h
I7d2Hhqetp3lBVcwj9Ow8js3MtLh24oHOFy1ZxxSVGWhs/j8lAOFUjICxLZGKwNYnhrfaLGSM0O2
7tEp2/ZmQQt68TBGkbORLvueawErU48ddep4bnhs51C7izi2yBnCsU6zKDclpTe6KbbUbLEfl1k5
4ZRksiFrVlZLYn3141JnB6RB8ya2sVbpjlE+p0nqP86uJh9utxiBPz4JUTjzk8O1CpKeUOvUerZI
z8v3ppNnV25veg8YnuL0Rcu1UuFo5aV9qIOGiUGJTZG/f8puQdkLJGwtw5Eyt2D7sVBhaCitxnCY
2tt1fp6bzf5ZQo3k0+CXY87T42SYnqYskzP4mE+pS/Kpeylsc8pfi0L1ax0xiak9YkGcAWJX6wZr
NA2InyIesyR5rawsQdaZWpTBhdFUPJ5zA8hBL6tFU2dlmo/vz4tHPE1eU4B3la2K5LQoX76OTT2r
714RWIX7yncUcMWXo2ouKFBsXEV1TFfJf7hxcSbHnVxlIM6jir/UxehSY7LJItFQ9eAdMQfq3wb5
/72p/81Nzd5Isub+1zf1lx/6bfjzFf37n/j9ig7sXwC2QA6wAoKsfmMx/TH4MN1fmIQIliMWAGuu
739c0TbTksDl/0LQL034uqxNfh98COcXlP7sQKEY+L8FZfwHVzSNGYXAnzc0LAccjBQBJFQ6DZu/
6693NLWyMQGfN88z84GXyZBeSIT7d1+L8nZF77xP2ZeFumqKR2/2b1j9o82a8u6pbYwn3CLDZaTt
DrfgDA7r0Tgvse3Gx6nJUwbqnfE2elvWgNuY3Un6sUfL49D/3RMwudgEcWeFqOBYlpZ3JkPVF7fw
Xczm64B9DAw5q8LGBsqjOJv8lgMg35mU0EQ+wtBVlQzjGDgSHp3E9CZwkn3ffS19Jsuo07HEWpc0
0C6ZWHBq1d5LTTkc0lKK9qIkIczUuyREmSaLiGXB1lsR43rxmgXu5ZIMzHLWxmJzrmSsubSER0Yo
94kD1L1YMi//Qny8wWtqeYzWoxSp/ltex/5H4uYJSAcx4CDY92ljTnhssBeZcEl6IrIUP8JwLHQj
rqBRrAM+roBoAEb/5HtTdw+HCdngtF8bFIaR3+Qn0mfbV11nxAiUta1OuaH9/UxUxesycVRi30lP
LPyeEvR0/LLG/KYTdXPKxfycN7BpczjEoVUFyamYEwSKXZWkL5nOsFkvDHw8X980sr9K53F8GZKq
3gEFvbcrzYikngLwMon7Xel4DvtxfkUDMmDPZeep7XOii2c9KaJxAysnXVW+J1nDMCguxqfVH4cQ
JUZ1HPlKsXY3myp/Pg4edYMv6iOo5sdpzZ4p0thhZupqHRpCI4rkdkWftatG9dpUw6WamvpUKDR4
TBwiWmwRDpy+V21rQinq1vs0AYRUiOK5xYYZjb3R7Itq+gGuz4VqtMb3cwCLl27QCAO2TeFgx1Gx
jMVRThJnLeh0QSkXTROg3gQsButfRFjxWPY3vmJf75Gwcoa0nBH6sDrhaCQpaeyM4QB7TseKYcW7
n3ZAV4l+3LedYzyiMZGwtpIfiCObO8cgNlJl+ol5RXnEfMqmMGuzU11sBI3MdEMEithk4EUdFHPS
M+dCemA9FBySypE7JzWC4+TOP8hXrc4qVVQQnB0hlXBG/IDO3hvgirvJqSuScKFABmY1wKmx2WTU
xFpgN2Cdb07lnioIroPQXyynNkNydp+NMj6v8KXCamiZ2CjjxSHEl6WZzi9p5yBhbGX2c4O8/Qpv
fpdbClPqLJlzTp0rw3Exi+tqKsYr11W88WPvdxHeV+NnAw8b+CzUFTJwPd9EbplPK+HMlTZgzpvj
44I92nsqZdHeu6YgU7qL++y29YXLBo90rJjI4AFi/ph/GVzS3xU+s+RIVqq41GPS05Lbir+NBwv/
UMztOZadvTPjabrPSWKm6+WxSIKJMRCxHMtH13Ko7hNPLhcUifVJqHmZYaDyaBGxsbgsZDp+2k1P
PaufFjCIjIVHDEZLj2P6k6wvUBX+HHQofM2unW+F7wyvg8PTQuqcBGNkTZV5ldZBdQSq3TJgMsTR
FAxIuoIZy5K7aGQaTgkNlKsxE5hfNnNM4P1sQ9rO3kPCLY+UliAC/PWbxmfw7JFlfFvmBokQxYtY
MzOsSwKPq05dlNHJ29wURQSWKYddlX3Eg99HmWiz56rPUQSiWc9uRL9MNEVoayOKSOuehfNXoLqs
c3ArbrKtsrlYARx0z56uJxC6j9IOjKcCdC/jNgedVEFCzVoFCArGJOU1hn/MkhYgwGEpF/PGZSi7
V7EamF8oxfwrbQg9y9CfG+Zy7Le3FsGki8UXW3jcwSswujIlAGG6BzuewVMYTrPFIIpFFpTKzl8x
asZu/YBu8bUeG+ckpyr43ovhwdMS2uVQIEu3ffXNXTYWpgkHS9jTmSGSD4ycxRRzv1b9jKmk97mh
jCtK9RRPNPTN2lxBaDQasWribxBPi/PAX24zqFd3q2FON0sWMA1fRi8iEJyE5YHMs8kT4x4WZ3JM
A6lDE6nILshzNBtWf1yMpOcMVjfByKm12gvbb5QoOxMn75nBFNnGMzP3xJofR3/FKeqzU202dCmf
LTh1Wh+NpYMFYE7xDnm2iQw/qL4vGwbVRPu8Gzc0ajsUVOWfvNTAF8MXkPOk/fj01Z0sg2hQ3Zm2
Egub0f7Unfe1yrxmvwYwX82hBeCykO1oIDbap7VOD+NY6YtRdB8b6KpU8Qgve9tWztjfSuHVd4LK
BDgyv9jaXPIDi1PzvG4wWGPDwnYttgPC50DZJXSVDPlIzyvyklV8wXnXub+uG1623kCzaaF+FU1R
XLHFo/UgFy+MbaS5MAyta56B4cg0PN3NRfETdW1w0O36a9JufLd1I9oy74xv4gaLJY4Hjn6QG+9V
izXZLFV/HxNsv0s3KO4s/YnLnXafqRzSXudnG3Q/kCqwU3YoGCYtXyqWpWSsDN1z6fOvWnsJNwlo
788edeEuH3JQ7ByirGTm9B5sUv4QiKY9m/7G7i0UXwNI37FiGclh2nBqZ9OLj/VtJ5X9hCgHpnuC
TTnXPue6m5XveA8E/gjIwaOs3EM+ecsOrmt9GPK1uhaWmPdqWeVuspf3IY2RUzKdCeeAn4FY9mJv
got7Hkyx3hc2Ow5uU2YgYeqNGqxa0fLjT6rIX3ntC3Wj5tr/0nkOf9Y2lydcJWeiFOedUQbJwziU
871DZvirl7tPjuvOO/jZt1I0w8ke/cTe6TRHiznEfNFplsqvbF7nnWa8iYrY38s1dgWDGC/ZchLh
g6wbFzpzJ1wrSSM+HJb6Dno4rHeitZq7yVqZuNOBnjzt+L/OxWC+Ilr/nrexultN2yAWdEqnU94q
+86p3GlvrbmuOVlbNcHDXVBeTAFrIMfhiTCrR4AeziPm5sHccWoalBiiFTtHDuXPobd9ub2oCb9T
6Kebz713j21rObwyNQ4BFC8IHokG2zR7if3UZmQ0e8q8RnOYfyME1HwnqvFSzvjHo7xJk12X2B+l
OzhPtZuJ7yDUEU7RuBLNiHtRn1vcl4QcFCnTHE0G+XdzI5u3n4zzjXYec3je0GCXR5gH92g6rmI0
7F40cR3ok2WsZLdP7uR9xIlX7VIxeHcBOMgXp+3ljTVmTtRXc4kO024BU7QrbofOq/aNspvH3pZ9
tlv4Km4BOEEAMeMGNL9qR3z8va+qaNIDtPiNGw+9Iz/EG08ejRP6WX6uo+pd45ijVa+OHeKIF06z
4oUrbvyGGsR8KnIVn0y87mfTmal44869dDVKjzAzhrjAQj+Xz4nI8uVqMhZcI2vaXwK4SswsTBTt
LQGWF7FR9dNKW8Wm7mgjIhsgGpog+BWLjRfTX8cPxKPTyR8aZhd5ru4k+tKvKDP7gvevyVVkM8so
KodWnepqfQ5I0Wpy2odhBsbPCbujTyLxbA1aG3tp2S7TPst5H65QlFbVnqmD+3WO/dX9loD4oVf3
NTerP8qAF7En7QBbKk4n5BHurWsX6evkzQwYYVA8lWu9WKhVauOmrHX2GldOfQC+QMxWteryTKqB
GeHRSfxQgvPy0dET2WDGOn6Y+EdPuuJ47avgCadXTRHWje/1Fv5gpF5+cNWaXPWf8RCfSRGqmqov
VsrYDBWsOM4+kRL5Fi5BolUagXgrd62xltBr+9Y5zFsoRSmdvo+cNa7QHGYFnDYLDGe9Qr0UeX0a
PZ3ci9aOl0ffy/vmTiM6cqIAx17nFqw5XUGxgDhwY+XAIRCiHT4oNzN/TLDddrN8gjzBupRjbGl8
rx+YU6XEIs0Eg65XpZbGzh1ya09YSN1H9pByjmofeH8zuPZJpYR5AXyqxmidE8BLjANb652hdByZ
Rh4n19m0RdLyCPf5HkvUzE5wnFpMZt7M6aP65npSRnsamRk9ajTNuwrfz3F1WFZPajEu3dy3555n
MhqVnV2jJst2sRi9nwg55XezhuKKqQYb1lFX7ZehCOLs1bIkC13cPsBDEAT5KFO2cFff/wFgJzm5
pLQCA1Gpseuy3ntmOGTu0Vmucs9stjgMYljfTArrq3lpnbCkP0ZjbR4b/rWXFeH1Q9tm7bcUrdLj
PFvOZW2zeYc0rY2c1GLyY6WVvU8KBLOM6qgOEEwddcEysWfheCtlV0Wg8uTXgSpyr7RGR1tb+T7h
rqM4J7MBwZnaj6V3Ntp6ihoa90eVZMGhL0zx5rC+OpEz2IbEgHUMt4CWewyPj1liT0iiIALaWeXy
6x3S+b0MiDsBf3lna0TbiBruJn4S4mVMsWuFWE4d/BZKqTG5LmhpNZhCOe95brpDG2hn3xHrBFB3
LU2YHFm6n+MKblbJNR6jQ/91oKYnQsyrTkaG8tkAxbCrZ7dmE1aqYWeYBhLb3LYPxNZDwQ88407Z
64I+Kz2NGm6sBimAS6W2eypwo9wTPJX+aFtX3sQxgmxCyBIgEHj2ioGDf2whz6LM3WFkJAugUBOX
zrw8oPkNbied4LIhSvhUuBm5eyw8Q3NoGKyZ1r3v490ZhkETG7klR3h1Tq7EQmxza3X+bcFGDw83
ZBOrjGWYM359JWrFCzESYsmusrR6NdrhlfyPAj+Xf5SOtkzgcdOHqblY/cxczwu4R74/ZoTw1xWB
3Wg9SZCxmT54CbbStXwD9J3u/x9757WcN6616StiF3M4nC8rB8tyOGHJss1MgiAYwKufB7Z7jyXv
rZ49c/pXdVe3LFn8SAILK7xh4m1t3Hb5iPTcRZ4BwVp7uHT1R9BoZr3RON5j0Qdlb/E8UKbo09VF
giViMQRPFWYvmwYrwy058w/g1lLWewnhbWSw2V9i09CyWobo6NjwF1zpF5d1llW39B9sezf6OArt
J6i114Mi30bJzd31pv2zxIM4S/q+Rr56Wk9ZGdvf5pYSrURA+dT4CjVcq3eR/Y/oCAj5rPJFnUfA
0jc27NJz+lq7PNcCUGnYcwBb1Tlcx+lurQAaZkX/hXqNVEy3BSymtWzO2lFMFWLeg/7AhAde6DRf
eahAPJJKPRRW328jhKIu8tCbt/2ykjh2OYzatYf6MVpy107j58Tpr2ZHexv0YR5bi5AHn9g/iFDG
2znw4g9Mj5sNGleASmzQqXiEBA8A3IJNsFbuRavzy8JqPykRDSc95O9kCPqGSHqYNdlRm8FFyDv3
k5fjCudNrf91QKtmZ2cSfIDVPC4QwL8L0VjrIWtjZr10PUi+FwFUbw2be4SsGRx3WenslIjTz5M9
Voi5TBN+dome7xHNWjuQEEB14XTO8yEYfOgqCHE71DgL3gkoFt+3BCzM472gC7m9FIgKkk3KYic0
+9Cu5LmLj/W8FvBjdZbueFUiuqrKQNxMoU9i7dCjhv1ZFc4GKawahaS4doY9LvLiGhnV+Iz/4VtV
G393QbX6ZUfwQKrpHAY2eMCAwxVC7XNaiRFXT6tCdCQcwbdHqBIE9XK+FhFSWbbzKDmSYLjhZjS6
phco2myLa2m0iZxwMnuCLM8gddyATDgbXEJCuMhpPoHDOEVT/zmL13PATlg2FsI+qzLrKk0Gcp2a
+QveIOfCwcULeYloH1VhfS4C2n8IKw9bLOR6DDAWd5v6Pd7z0x3Cnl/tpmDFpzrYJ0t7B6ofF/VG
R2dQQ1yENVV+pHahgbg21s3s+h/AxAwXKrXEbpZhsc1qQP65LTLkjRrntCDZsZPBOJy1KrPpXKgO
MRM0lOY0uRuRHz6VKS4Weac/V5lD50xp7xBVEkkn5X1Jg8l5N8dBtQsXPcstXlbzt2CIpnfEPhwn
wgDOKyrM57KnGQV2aeukFoqWMrbosyDbvpd2VZ2SsL3yVQ1kZvX8cecWczLuo8xpog2wZYCenI9O
snZIdmnxNDhd9ylAcMAYx67rM1YcCHihx289dYCObiK7tk4lB57EiCla0E8q5SVAM3fLHLrMd1Bz
z6UFNs1rtP5CnsXWykTzVJROfNPNXgoiIR+frSL8nklmbpskt4bznjb03br4KVJh0dxuRWHP7+Ml
GG9dN/fXa7nEHVqzUdMd6YI26C0pTxjPH7TZGRxHSF0UC2CzAoZuwSwXhyQ3p15IrWunkAFTUA6D
U5FODzoL3pMhBO967G0hvmt1Yh/ofSgHpLGT+HGOMRKFu+6+yxCG3IITv4mdIX1qFuQnkfaKmai5
brGrKdKtC7DaoXeJjcCw6dWUX5BDqOWQoRq1lWURjijpEX82oWJUjA/ovJgmEdiemV4YOU3D/K2l
uCG9mzuBXFbYyUcp/P4CHbIYUVWMZqGlMuc+alQ9t5q48CnsGFVdz0VgPwD5csJdjB/9h7FCy41t
DNDWo0GN9l+rhytvFONlxOpBO1HMOMP0bYE/ixAIRdLg2Sg5ZmRMDOY2jqsYnEnEgLdgypxPoHGj
z8z30DKqxlKdRAzCsLeWnqQ19rFSyax62vqxt7wLRoGrMSwSgbSStmPehJU8gpRHiivHrmnXZike
8fTU9L2upgVpeTbafkURDlHIgcJ7cTmiSUEbsZs88Z1xZLtnRHCHmjnMXaZ+56IK1S4QI17HRdrf
LdnkfihLMvBd4Jvxpwyc26E3omJ1P8X3QyA5T4ll3W29WtMHCxDAuQdecvyhZnwltaU+VMKyr+1m
Rjxd4GRB8Tp4dwNclfvESilfJDPXC8vK3S8o6VTnaognBpEezVCYJ+zSriWsbpogxvslHnJ83zAu
ZlPOPifWONMV3HgyycprOvwGpJhIr74oHVcHDNHngDfdlGCCZFbulmq4XbMBAnWohQtislse7DXK
zkufUNnWuf5eg875lDoDidoaomlJp0Ne50lSZJusLPoPYxh0h9ni1M06n8OMJbWj2Cn2djaUR2HN
gEhpjV7IdInOptlWe4Fp7qVwAJyQ2Tv2Zbd283v0CRQU7AVhKHQeALhLPyWcKOtOVL24RgA0PjW5
k+2HaRXHecAu0BMVq8SSs7qKQXZ8pHuLyiJE9Qeb/O4S0P18GBXZP+3MiC6NhWJqDjYBDV3wUswy
tpkYmqtRJc/W5CDv5jR4nuWB2lnMR6+Sia3hlW6+L3rD+HTiW7wal7NZB9N5aEUrfghYmfpIHLBo
kmhLv1meD0g0XEEIry4RqPqCBwH+yanGMSrWT5luwGj5AGXTuKSt6KQNvTKpH7EqSQ8RgFu4k+DB
LBb6MZ/EsJ0k+vQo6dKz6apWu9iiY8/uLc4Oilm0UUFHLguf51NRY55KqbBCeFtClBicYbyNo44+
sINA8K4N3Km+XwLG4zrnsCmDqqvoZ03VpRX1uzlgfEOP1SHT6PKDU8UrBM71GgYDf26nd4O36JsZ
gt7GnarHZHA/ehnBmqHvvvC9dUen5ClpDe0zY+AxM0rfoYJq7zCj7g6uU/mn2W9AQJT3awwNv/MD
wA4jjoZZtt7gjgbXsOw/oJ9Z3gIFOaWWC3atV8cJrYvPFoSzrYtpkmcDw7FXMmSjWnsEi5Bvlnh8
apKyv5vH/g6Oea03dhdztDumEMxr6yaGUwBMxc3PerBtl/5kffWtaLz6AdCUxP9NwRiMRk/if1Rz
YNwVlstJiOVM1v3/UNHxkSiU/qexNTh2Br3/eWz9+E2Cl3kB8jf6cfydv7Flzl9IkQEC4yX/RJD9
C1sWeVi8+kDyoaOH9k+a+t/YsuAv/sB1mYUaf1cvYnb+a3Dtu38B/scpiLWG7n3gR/8Ntswgx36j
tkF2B96WRHxCLmJm5C+n1gA9xrXo4uAUx9TTTZ7HG/RivM1vz+Tf0K1fEt4ZsoeOxz0a2nXCcNw2
3/+NvZiOKIZ4GMifxrJF3GOCks0kKe0+t+CvbpsQLZAa2RwUB1ckkt6+tnn2v9/ij4sjRBQDH6Ci
5GG/vHiOHP3iVXFyyvykq4hXw0xfz+G6gV3dc8B0T1nSCLDvLfOVYdXFt8VCa5QsJ/R2tXRwzRzR
g1ak9cj5Wv35WHX5zRCXJsepU+baWor9QEi4GocovW8wJd/9P9xEBKjACbCKYiG9eoK29AVusCtD
jhVVjcVHu6axUMgmAdTve6A129SpEGu3Glxw4FwYgWlYyvgaGB5AkSygq11U/OnSUAiusL4SxmxT
XCGMkUwVI53ZeWiKUSEsvyrwAg3ycm/fA0v2j/dAYwPyHNNrGmOvqCFI2o8jsqnJiVbsvJNg4qjU
pD5GXfn97Su9IqH8eOP0mz0WXhAHQEJevnEqgcEMNpLT5GU2qCBExlUY9+dSef2dHcDrfvt6rzbR
j+slKF35jJPNQMqswN+Wt+sMbYs/JdfLCnlHdBg264jozttX+TfPzwfh7gUUvbHrvZaHTCThop4t
SKcuepygGb4LL4G7PsQPb1/oh/znb0HB3E/gOkg6svG8P4NCmYGzmVmDJxf7l7M1GvCZT1gzWvPi
dAMknB4c8Eh08qt7gBPxpahDJj6lk97n+LlcNEHQ30ltmLzhFAz0gAqbAhWLpVNmJNK6GjGVgrX5
fsrQVdmiLexjoFfOKzZfGRdZhLFSj7HsG9xw+DCHa3F6+ya9H55qL+4SQIqDu2fkRuQ0SfCKUm0k
esZ8lctpxvWRlg+u6Gj1D2e0qqpDh8gtnMTuO+48uKgbP3UWb3nCdX48TMxED7Ro5LX4YcEOsGzX
w1744MAmug4S7X+OjGc747u9dGb3nZM0ENAlWr1bSfL14NpVcsiROMK9Ol/e51nrkvUX+ojBtFNO
2WfCWXUKFd7x2egG+EbCFuR0yU+NSMl3s7A4QZnQ28440OdAko7w/OIHzDvLs9Kib9A6fY51cpY+
5xw82wZc65lvvO0FesH9ZlpxvAfjWON6iEGmmFxSVx+eDiYETOGUg4Nyhd/1o4LoU/dMGinsrZsg
Efqr1ogJx3Wu6MEq7xikPpl7GeYu9rEC0GS0+ndB7tkPYhyaD1GWV9+Fk3cgjexEM42SOS4Oc4cI
dwd79mOE8NoualyJ2HRSn5W6XPAkSMKbsK7inYoLrKu8pphvaNn1X2jjobPfD3vYMYCa0+qbxdTg
CtyThQFkgdxaJM8bZCRgQDk9nsfJ2TJZ7XWXCpwIFqCBZPV0h6yoBT9SXprnuevqUmy9JAYT3SGg
5jTepwA3jI2/5DCesFW5hAWi31t1pchLkRC7dkYLqwU95WhQcL5Q6s7eEemi+GyEdfEkcTu+LXlO
jK1tRA36aPAeKh/9B8GKmGqUwXvPe+p6SSMhd3FQoOnfbExm955CdCRrxgkTMXCM6pYuO816POS5
d+emzbgntk1nCm+ADQIjKt7I3P3qSd45zTVxp2V9VaBGskV1rsJYroYURSMbc12kv6RNaejCZLEz
ny5ssmTvwNZcpVn4OV+0fcpRpbhPnVXvSxkiZFEBW2hbujVDubXKMHlUKP4fPCmZNy/jjC9blWy6
aYWAi0XLZizxAVATsK6IqoUQBfvHaX5YiHbLhRVnyZH2agtINU5p9+aaD7OkAGsrf5tXxl9O2r0R
4QTOsuMYqlA1jcMWiGsBGikL3aMcBusiWLvuUlmdvZVMDJ9KqiqUr4YoBmwQxMhbuaW4WZkNEKYG
p7/Q2vHPGNbXJ8cr7FPUsV1CS4NBRv+Avt24x9stZxic9xv6Lel2scv2WU5+9rHEZ+RrGA36ozfJ
+byhzXBWTYkCyCX8S2lbKHGpikZMak9nI7izG0vTsR9rzXB0w+xvcPCZSaK13zl9iDa8nTWbxVqX
9/5ktwfPZPd2hbEr0BF/W2owVYk3Fkcn7NvLgs43fQL6DEHHl2U7VmJXhEv/o3G4C7tRH60wppky
2NUhLSf9fVJy7q5tndW7lB70dp006KQOZItw4SIXGSeHsyLY59qj2NMRdvfcsTyPQugxMyrdeJ/Z
+mJV9vAByIN/47JRr3VB42xXpVD9gNd00zfEGmeIeTZlG7J8zzlTMizyiujxh8xbG0TOg2WTXzA8
yaFOovmSTqR8MGTsTZglSM4BZO57gMcIXy52WN3Xmd9/LEuv2lX2ih6RRV5oBUIf68rxzoChV3TG
kvGxU0ONPkUwfF2t3D7VJVr/peQmEZPAs7HuEB4A+HjS2hPXXr6m59EgOblm2BXb0KM9WMIk2idy
4s4rBI1AeM27YPQQ9Fcr9MzAz27WSNAvZ/TF33GTGk062ofbUXp8EnyS7OM0KW4J3aVso3BYh5RJ
O3jvJXlw4xAYmDcNlHnKXRn/hvU2icb0nFwlgAsXJkC5ank+haxXB/Wk7+TA02MxSeJ65/bn8KIm
fNsD32XC0PRH7OuDCwZ51r3mAihPM0zHwYfZ4i6AsPcZtXF60GhIqnuYifwfYLZ7+JM9qiy58xFs
48WAGydqEX13HEqX+p980bsIFvuoeoKCA2cAe7ye3iPYO6TTwT9PdYmqmpfmmJWMD3RKcb1XqtiA
ZAj2ADBvZdpCKmX0MB2lmHR+5PFH1bP04z6/lEPTw9PTdNVB7iB0qRpp76SH6v5lwgRYEFn1ACQy
dv38GgzX0qxnP473/8FZ/1PBCpGJROY/F6wfNIyINnuBtP75d34VrI7t/2UH6MKHNjk63rtks38j
rR2Hb9Gapp79VZT+Xq/Cg/qbRG4c4f6uV23DMKchhoQNKSUY7f+PepUqDus4OjrUQL6PopBJkn9L
tdNxdooAoZjrsfmaDTWNki+/PY1/U6qarO+3rPCPC5ja4rcLyMWrG7FwgbgEH8ShPCZPxXRdJIAw
vr59qeBVZQpeHbI+uj4k2VgQBfarigjqoFNjKedclQHovxIOj+V6dgjqLXarPvg8lEsWP+dQapVN
tuIOCBx2daCL9tz2bIyhviLQEUcZSaKf20l0TGVmH3Xcjt+K2AY2cDlKSJf+hR2K9awekjKVD3FJ
gA99q0sfdK8OpVsE5wPNQKyeOtxddJn2rdq6rZsBxZNsYXcKLbKiGRYVPeW66fMKt00EoVCZQxU3
6nZ8CA4pRvwUPu3onktHFO/1Uo8XddqPIPkmXc8HzDdqr7mIVFDuApp917EDS+Uz5zgAXCsDyxsr
V25Rg/a9GzpdYr0oFQOPdzNgZL/de1MGqUeYWAuEGtCjLIbj/0SN/5s2F3uetfefg8b/qp+G6gWB
8uff+DtkuAmq2y5VVBx5KE+YgvtnyCB6/EUB6dB7CSCwIUHxL25G5PzlMe+wUZ1gExiVxn+FjIBv
wfbgu5AefcLKf0WfNJKOv21p83Ec12Gugdo894lk+MstjRaBbprR9r/l9irK7/jqpZ5Ns9e1erVT
CvHfx7LOCnUYNJt/Oww6CJ6XtBbtJayFDvsdYfloS1V9jPMxKIvUMMTiGkPm99JGkEBvac+EK3Yo
KZMWCxDi1BsN8HrUQIWLchzcGzpTIgKEYTNaeJ+jaCf3dTlmTCZ8nRQumedoB/HRwwejDzZLUQaJ
RI9lIVU+tFNpkKcM0EkG/qF34bzklgK0s2lYMIXmXzYWuL2XTweckUNStQbfxDBPSU0hHOUUKBJC
anWVZEHCJRcHVePvfSgL/eDTneSjufkouZ/WwcLl/W9r69+E4B+doP8Tg/lIUUSjK/Jp3iBokvxh
llCSEHSDzL46tR1UV+DmM2M4PfZkVbkVFnO1aaICpSsSEBGP+AqicGkGtIiZP3VA9kgtoxEtjvPa
xvc8369ptgKhqhdexV4BjV4fcwpx9BnDterD6xWzIn6sSfwh6CmOhhFo7ts39bJHRJeXhxz4Ccos
NFwRYzFnwW/nSppXS2FVdfvNnkHIvwvawuruIa526+3bFzI8o98eHheCiszRGAYOfSKu9/JCgBb6
ZMXP8isdX9fx9qJOKx9BFJsdvnhR6d8gyRt4OfDDoLYU4m9ZNN1XRYBVyNuf5GXDytwyEjAcWE4Q
e/T9XjdeHSQb7GQpw68TYPrwmmy+VMxMGwt8/Dl+kKDQ/tuHHHghvOSAZB6lS8gkL+/dcjIr6urI
e65HSmuGVFpYE/hqSLZ6/odrmX3x8jkTuHyI3yx42tomTfr9hTI9rytRBO7XBe20wv/mYl+WA6AR
KK9jJtibR1zDccWh4+3H+sdKQleHfjb/QIsg6L7qbtJ9G2RSVsPzYtPiXQE/1fGEZZsRCvuHe3xl
cmBeYeJ4LqqDgcuKSl5nKCXqoFRvbvN1ACjZRCdgUu372lXEKNRlmFOLmyVZU7u57Ao0bex9MOXV
+lgOkRDepsEyETSVDUA2uStLuo3U+VPr1pfVlMlYn8bZ95GXe/v5/PFiGIsESBrRZXZsB7r4yxeD
DzC8HNdun1utJJ9CWklVfp8cDW21w8uO2WMKE0r9ox3Ony+G3jwyAaBHcFaCp//ywqll+u4ysL6s
AYz4lbIvKDDEiWKRSxvNfEb8NQATv4qedF5nC4mTlDJBOcZa3OmhaNaZcV4eL6v6glGYMa1qQ1df
4DHoD/HuH57SK1XDH0ICUfBjm5BOMkl6tVmCbBayGWX3BX0ahEw2jHrVejuAGGJRrdrO9HRMBqbe
1xZyZ+ymofV9DoM2BG4KSBGhEP3MAmzK7yHQN34DBpkV5eXk4Kv3/WcApnFGdAkWujcfB6TPUxT2
m6hipeK0PvB2Wolegdq1HtAj5Btx3iREW8ADuKBLDhnfpblQy6dVmxRiA1ANjD5uG6VHkLfXIuzL
g+v3DNo3fY7B7y3YxrL5Fs4wsx20ZNNhvWX7J8HHFleb9VEyQOczOqJMWlRK2tH5yKAaivp+hEG9
Pq4U9NPDJPtwuif/rvnZvC2JIJs8B0vS0SBZsLfdNEx/MWsvPWGx0VPQ19xMB90QNJ7OWxjlm2Eu
XX4yRDqEHyloIzXhMZiWXN0p0DkcZroH9KS2g0Rdhp5blnBpC8gRP74CSOBqVqZFeO3hmNt/6uMi
mE6pP/XFVe23sT7ODu20C9hRejwfF+RIxXaJUxP5Cmyp9UU8gVGtgLUjeltBB0pddpuIewXtugNN
DuDp1w0EJUP4eYNUSmLcCsAC8UADu2X5DUtmgljdIHOFOu2QhvwHEx3dlNtBgGj6+3f0orfk3qP7
iAgdSw49FNT21oBnMKKExKUXkRMccRHgnrCmMk/Vpz3EkzMiUfzAPCtAVm0tR3x9nDwxV/QoBcrv
mtYJj0XoCHVVHDsts1y6RHFqeRVNCnQq0rBs7qGsdlF0ABNrlosISpc9hXNywqrJXIh6TBswbOFv
QalJo4PKVBV755a/FPq5bxB8ESjETCXXDwiMTvouru2QZ7JGI+OXM9hUE0gI1MdM7lY6i8f3MMOr
zU2UiQiXq95LpzZDf8IQ5jeROxEF9nKFawHvANlQPomk3cJXWez13nSeDBNmMLsOjSq2AhrMiOjz
5lXE2SXdTvGRYHGZC81jaT6Ln+S4cG5hSrMFddxDgd15a4gOxRTiCVLQjy5ik7elKE0U14MP5eNj
Mfp8sU08jWj3pvRRRKoxvaA/+31E8YLHuYK84DfVpIDYjykQZtEBJKxZoia1nh5EjJnjQ+8APgaL
WSpiA6njSpbhzwX7XEuNOvFmzUFpPJW9J82WZurKL0WbzOFNBLiQ8h9cor3pIYKzzFMAtyUGfcJH
Zyibq4mCmF/YS/wn6aSRi5lVDUJPqp2oktUJTgDkgwWzXPuBjluRTDsURyITmfI6x6YhtK0DjelM
eAdV6cy3IQqvmFVnky3W20DrheUfD9AjQaRDDsFks9dzB3cBVQzTKreNqtw2TEuvuOmcvKAZSK5u
3nBb0FB1DnCLhsnCdtmuC71ZZK+6YbvUNKfniyod0IYBCjLwbno/huf81A5Oy820aamz7h3DoNRn
JAFhw7jAYuAMQYVATLjZKy8rdQ/CB0IbECvy9gXtahdK6Cn1SnRNqMorwmz4DMPM8nMTbLWxpigX
LDPQC8nxtwVr3uWjE12rJRnM4oHhZlYikLIes1GdmnVpj8vAGkq9Ar+aC8BMK9/r3WmUqBoFHqFy
6Fue0q6peB/tZrEtZ+yvhxl7mfJQwsTgLbWO73IWdLpB1mOb9OideqivwCkn6hQwlKaDrcTMT1LC
9HxPYUtEXKpspN3uEgVdRbFCRoxCNsJfaDRcwBsgOkw8RfaC4wIjWzcTelBQv3j7vUaZW2es9Lge
Vj54vlgjl/YdGsriQLjkOJq0iDjlmxQE3LCP/docskqNPctxQR6qsziUpSY+6Di3/JsFXzU6p4Qo
jKJFr1puKe5kJ5HBcU2KZYBZ+pl5GdXIrzqEqG8eztz1XsdYQxJVsWLLSzxFUVFfV/gDMXTyXZ/O
bQoWCfbPuxRDT30BOr0m2k96jvjEUQkIbTqgNhexsctxJZ0G7j6aJ/hrWTP8Mt/TPmJlDNlA/fDJ
w87ow20RdePQcixWpbf3IpnIeUMmmtnsTwt7PgXmMKUfDwvOiYAjF4Td3YC5o0KnZXV0+Nlq51q+
s5ulfkjQ/QZdKWVf9Och/jIVXf1pFM8IhfXWhcwaELMQFCI03FpR9J8LYu56QDm0q7/6Zb3K+8bg
Xp9m5sbzzZoApdrAOlDdBejqWcAVQdw0ENseXMyAbt+Mltq17AHNwrBt7AaJ85pjFdliBZ2j5x1J
gvwS92vJKTxJH1o5TA+T0q9y1vUGAb/aTTZCWlp9Slxn9N+FtdI+Njq9Xxmaeu1qNGBEwv2nrNM0
U/C+OcnqbbTW87rukqJebbQoaYx3FwubYwSAWl3NDI/FYUqizNsFJGjrQwamruPgCxVgfK1RI/N8
5TpbpksJw7gwU0OyszrXSCtEEZ0sfFezU+R6igaZPa8XKRpl9tGZndw9pGJxWtrjUb0CaU69wLoV
Vdf47zG/gsVCty/Sot8nnb0sD4taIMVag2qte9/yh/VRtaxqaExhKN+v0ZRBJa5VGElxBAecrQsY
j4hZbLKsdXVMC1UuhxWYIzTupOo8F5Fi+YN37zRl3H7NEe6flh2YUd1/w6EFoMZ2jEQXbVxvCOg9
qhRHg3g3VnaA11TaWFV4DdbGqqrjFNKXrPNveYyeAhTGDo9Yt9s5AXTMcB96yrOya+lyM+Xtr+zb
1nUaOvczYgMMuGa4nxxLovEaEbwHpSiEvxPpLNOJfMrOyFFwCgzIxlJ7ZsNIBpWsf3QDSzIo6YEh
4VhJCCRs7j426aPkAGc75H5oIhwwH5NhFpZOnfTAeGXOoNd6g5jji7XPLFLSAAVDjp4gb0pOGdUi
H7UeNYJLKj2MQWfylHCoTOUQlQ5jIzTspqZOjmPfFOFHRCDNvMcRCEMlxwzLhHEnxj4gTAbDQGYf
VxZP6ei7AVkwms4mi4aeIIhlZYzt+ozX1JwCQPUaFA/3OIGEq3dKfLcmJWpd6mzrDFVEmxslL8FB
A8JeI01AbGqXM3qOPZ/UBGay4gGJNjInZ4yaOp9UZnnEtTHCibr1Hfr4Pd/r0ATll9lIR7KXhqCT
fH7awyZOVn6E4OoWRbGET9SmYnDkUyITk68m6US0cdUowy8z6OgOF98yai+zrpw4FpUA2uqdtyIy
KUueKPOMVNeGyvmOjJOukh0QiGnE1NRp6RtA50AQBMimLQMePzEch7Q9LlS0e8KhMafUrxMM0SGe
Y9WBp1fbMJnNp3e81OJBCnyUku6oCziN3+vR4sESZugci+04WHB/T38/ibVnC21G4a1kpFGLedhD
16gQKmKF0VWMphcYbR5ZYZMH3AfNkgYfgX/xYX6+Rg5Mx3mk/BvVQ9ynC3fsISfLOxqHKQJe3GbV
BN95nUs7TT5NFcp/1YmRf9bMZz7p6PSwRq7JYlEYNc0nKcepyM+E3ZqkwlZlQQo+u0hnKqSdexZL
Q7/OWbbFbMtI7aBVkKVkbmqy+QnpRxmcoE8MU3zLFNftisswjWw+D1w7sw88j3k6YI+KJPOhHnyz
RfoGi7frtS17fiDFHJBEzUEY8WPRO2aBeSm+fe6xdyMQBrvs5+maT1PGoQmlgkR163mCLBD3epNv
AqxiPaZ1iYMMap4ZpXa6GpW6LX9ufpqsRK63cx1HHJcONF/OsDyHekRDNRwzk8x7wnzan9ujUkB+
H+px7nipciDwNZfeQu//8xTPwKtOASoxEbu6Zy3U2wI2PvvMl75Zu3XrJu0VxvDZpHZZPcQOMHbV
NB5JLQpSvNvRmlBwRw5Scgu2mArTrMBdqNwhIkbJl0VJIZ8mORZG86MaBaxTakvfu/RnR1UodGKk
Vn5vbNcUgaUIqNhsBwEYtpGfkF5SePKelQ5WfeHNMAAvwghj3Om4uF5fPU25s/BQ0p+Zz5DZE7nG
0MWSuy0WFFv0/ldFHK8ttnaHJctAkOwhVXt8lVGzyD1qOdbyjOIFki22Ndn21kP5nHIEx4BssE5x
KLzxAT6cN1rgQHCwvsVA2xTdETA4sjC5oBAE2jqRJpHPBOaED+mQZrw1o7lJur7EiKVuC4kUCjlK
EnTrI0/dRNzV6al5z/pI4F9t6geWUxhweVp76WpCpSAmhycRBYvCQRChCTIaJ3ZySpUKmYXnn1uv
nWqTWtVWY0j6usfrB9PyaRrMwmhn0z+yUk+bJYny09ze2P6C3woPZDUVd5BYigc5O5HZ4lTLmbgK
cR8wkpxziQU7gI/xLlzwOEcxfXFqCNIuNQUHG+INGUWggup1AGTU8WsSX0liVdm3JhM1wy/izPyz
alyqDKDAWV9O6PxekfCP4Xagc+XWexD5pgr8WVjUKVQRegArjElo732oC7FR8UrF609xyUKnSLJZ
/XPetrzSwhnNRx/bhZNwv+RjqhSwJshTV5GgOcIPQs5Zb7VbmYCleI0W3I9qKIp2A7RuWJkMYMxQ
PXkdpPNkr39GjgS1JJ4hxoxmVb7dNXrd0qWpBa4SNRMGOriyvm6wIiOMWGJSz1+WVJk60xDz82CH
kH1fA6DFwJdX+vYlX3fVzCUpT33TzsMB5XWfFW3iNrZVqL4E4WymNz+XRh3D2v2nu/vzUgh2Gm8b
MzBiNPWqs+piYsio0uu+FH5q4lMX+t5EUkiwJna9fVs/uoG/94/RFKVN7QVuhF31n1OpwcY9Z64r
78viNSOFzJg3LisxUH7ONsxl43AWrmFH0BhbP8CBaJxqjOy24Eqou+lCmMlGQslrYs/PyPxr9tHK
zJQIKIMNnAlwjWe+evvj//GoMIRgEJ/gCEQ57r7GjS9oPSNEHgVPqkBnBd6yLU1ZyOFKCfX2pf5Y
cx6N4YRREJMgF2zqq7dCGlW4UE/FU5LH3qhPqY7LGdOVyGyRMM3mf1xyr0coDi8GgLKLCgsddmC1
Lxu5sh+8OKN//yT83MQotbDZbseCyH6fuYk5s9KEfJ9kQvP1N3RebHlDtGuCnzCW/2ho/voxMzUF
oG9cu3y2m/N6Rc6QizD+zrzP9CQoHSFv06WK28iU8//dU3YDkAUMYjEIAPTrvW5eI67TY1RROp/H
touqKyVqU5oXJZXaCZijyRrfvuBLoAVDE8zQaTsz5A2Y8NE+evmQFcqnBBMtP8uWORECsV5qwhxB
UfNeU9nXyNDmBaLkyTaqYMb9k6eS/8fDDVnECTDxKEIBEMjLy09AlYiLi4jazz2Yt6zdM8taKyT3
2zxBdPtH2jLJ3KTGIW5xvPRfTXErUKbl1YTwivKz+efDacrAtHho/Wt2cQd0hWphRUKPI2Go5i4e
drGnrHjGbrdSROtoDsxhOekRb89dntpsfOyNmKGXOxWNNI+cWS4oZ00VLbp9TDLvqrOC0TJcqq6y
TG41oL5KsLCkG1HF4PhjjvNQFOQ2IE7NEQ93UfCxop8N+oHUnqhZVa5JmkpgJeZ4dR2TLKclvm90
bYZs5vnHWSnpTLrTgmcKSlwVbdm33//rbU3cc3HuBs2eoJ/8x9IeqSxyOGD6U5f3HjlrJpQpgZJV
mQzgV8v67Uuafft7yDWhNvkxowHhHkcGcfD7yI5BGVyAIZ4/JVloeoxYUofVFQxGt7Ku/zd357ac
NraE4VdxzT0U6KyLPReG+JDYTpzYziQ3FDEECXRCJwRPv78lCQfJNs6elQvV1kzVVMbOktTq1d3r
7+6/BwmEORPoTyCfis6KIeyLgLCeL57m+GO031xVDY0ZQox55LVJvLcSLwG1nRu+pfNtFQJ/vnd9
+FjuldVGia+UJH1jcFtbyVWCM1MFKTKg7qFnqKXk9NstXCdKku/5OlruHvSlKdRiuYxEZHX8vUSh
2aF8WZ3+Ds0aGCaZN5Vqr6Z8F5DeeF6QK/dBktLXOgG+TOEmAEblpOsuN3iHUxLePv8xAWzQy0JX
7QcOa3pslbwnQDAceUT+nmk/HnEoHLciUHcXnFAo0GVXOBBiClir6AkYwEqpO3Uuc8sQMPHKJzty
l/eGKi/XW+n4IshnRaYIKhBhrzkQrOAApkvV3XpnAdRx2vVxIbTkjQygCqduVyEDyXD6tgx0yJlh
Q86K+8xfCs88CUlVwHW0CTk5H7+VKKpryhsDptOkgU3ALTJ4pSlvmqDBVIfa5M7SwvJeDJY2buDQ
FKF+hqnHBFW5d48iHaQAtZRASes/xTkUIUwNp75K/0fXYCsWCQ0vwtIpfsJk0cveapn1dlcJW5XS
X+YFrDbnWzXjwPQONhOOxwwjFMeSOvFHtkgkkXreUmHv7KzBjp/loS8++E5fcpdemR2ndlXcOB+C
gNK1qjviSy6HRC0Mcckx/OGY0ToCWK5TaOxIdHdJzgO/N5mAcqin2yGtyOEb/tZqfj6YZTUy+QOa
X2iMU6k1bKnwmjfIrUE0efRy1fxnGdOAeqaQHr1g8lKkgfE7DIrQCvvDFlKoyTjSJsGFr6y8B1p/
aHEJLOYiQqmgMitiS2U2Vbnr+wnn1+STVyS5M3KsXLmAF+/WJ9X2mEdaAs1aDEX0iFyO8THXJ+EH
hzEY13gkR/CLOlTx95Kl+nVHHjl/P4HLXT+NmMukjUENoZ3c9VIOB17hbEaJHX/S8EqrM83rqdfm
Ns7HabRdvyMn7j045PDfM6qCLMEySoHzwtWGFF469L5TNaF/2Bb0wJ5mu/VgSD9CbN4p+Odp5MAA
d8pYTAcIY5Ek53BQBHcbU80eXFVlZIk16GkBrcd69I3a6GTm9aL4i6ElCWHRJLtgUsLyjDTBNhoF
5IuKUbGxXcZua37+3gtgO9zYOYCNs1x+zRh+CGo+yVY0v8fh3Q4OhzHhZ88B7etpo4ExuNXS7eAH
U12S70P6TO6dTM9GTmH4H1Zm4r6jk9z9cHyTNY01CkFaGWOmEypoCoFCSyFC4B9zDYHOjO9VfLKV
SbB6R5k5LXJGPDDuj9+suaGrm5kUygk3TwzXjkgmEGhzJreDmTEwfWqEisHdMABfPfX91XWuMcZj
VCxC/5YUIX3ux+/9TPPL16RWh5QNRrxdNpHpCd2RWuzP1rARRkzpiVbFma/SXP6GmyhX+uWGy7fU
FIX6HOZY4ZDbh8gCakMlp1ZmxhgT9oyq4C6YHgPr97hwPPNzoPiTzy6DuaPTgafb0VjNoUI7z13d
GBdeStkXxXrGx9iI7fcB0/Tu8bewsYIrpg++T/CipIEfnSrpULuFczz46cOFfxUAz97myhZO8yXn
1NMhsxGiETNTP6o+dfV0BPkG6M2KXBytgwBrsb2dQdWSkkrI4rPhQh9MB0WqjnZ8vzdioVYRHiIR
YQBhEHJR8dHtkICRAkmhWdvdTMuE8B1Xdc7VcOldFLtiGtAK/03t2cU4UxYkPdZxz7jQ6HUJxsdV
QBfK3PgypijWpE1Xob8YN95yKMPVxCd94JizRUbiADgNCrnCoiKcAVPeLh3nml9cmH4KNaPbi3yy
PaF/EYJbXeeRkaennrnofYSjXbuAhArgjPEE333IHPRRvOpdu9vAvNqqjLFWffUODNT7GPb4aPAR
wG0x2qUFaRf42iYjM7JhlVA4fJ/BDvFzayzdG9WM3PMVSPGFuwijj1D2eOk4nCQZdBNOdj/QldVt
L7BwEEYx3JypkNJC7hG7i7uNZzv0iq0HvAB8RTRgpAtSAOZyvSQRgk/8ouk968p1ttpXmuPoTiPp
APPNceEK2bVlq4EumDgp6mQVsf8OCgAzIGG+uzmZrV1Nv+mt1eVD5EJxOl7R3n8z3HCWeOOOw2bh
K1rF0FJRdUs9kkoJXnveM801XuzjOufLaKm9Bzbr+aeTbNv7AFAJBRO8n1h6fRHPInXgPcBvlF65
rj247eW2evbG2z9XLUHtAJeWaGmHZ6X1+vHG1xNrEQTzRUGCgXN7OPkexjsnH0N/qZ+uYd8F4fBD
mrZSHaxwvHQM/YKBQu4YnMS2RyQ8GVcUh4b5j5vSIgP0C4Qe9BLnGj6y5IKGuuLGyJzF5UI3F9op
ZDAKBLfbIa1di2jgZxCUWOHI8nd6dN5DLGfLVdq7Zugx83KBMnpXRuJsPzHPGHcGDV50ttjgvUeQ
pKyufNK8RJSqny9gTPECSkpg8HuXk/R80HOOpsQiyZeUBsNLppFAthablMugiaSLRgao3ydadQNS
rlTUwe1XkFdK6RtcMFLDjK43kZ3QTetCqzVCfuHwkuKUTXw+MBbKV1p/3H8yGhd/aq7iCrroJdyR
x7/Oc/uDptgUzVG6ZgjKgZaXUxUyobQcruaWAT5wam/s5Q+qPLZkDflknKnM2S4RNKhB78c2X26g
KTfyyH/rMV5QWEuUIOP6LFsDG2juESqlEj/Zmd584hvMjS0/iLFjeNWV6xkpFBq5fQfXWHYGU/7k
XWRPim+OFTNXiylyw7s3ZPLChhVNLqIjRKHWsl2xy+DUTR4Wq+V8YQ6ML2tjmHxWPCiqTIDdD/jF
7Aaa7PR9pAX+JQwDw+s0MHFkppcWn1zTsShIZto5/GeZ+pPK+bV+aq3d1Zc3nvJZyGDSrK3SFKNQ
M82hsiWy3Id6x15r2RzUe724J7KAVB4kEXLZBBI6xchX5JSSnQEBfqyHP53dwISPH87XzblqhsmD
bnuLq4G5Wd3DZZeRIcELnMXL2EPci6U5gk6xV+vb/013Vv0i42k6fVf2T9xm83j7eZ7gjZL9mAjx
00+hG6R3UDcLLpH/9ZeOL3RySFDyGGZBKp4A0v/WeFAMaaNxo3yk8lGOreABzKbZjGGlzKrSBQYm
VL281L9OvJBu8+rHPduGioRwkECNPi6u6oYHInpNCMffr5Lm8d9pvMHrU1WHMK78nhRaaxxIQbCq
DAQMWL2kDSZ8KAXL7hvU9jJDRKmkhLVA7B2SAsShnF1+RxVeF4LWL88eHAEqKQDwHAphSP8fRYQA
txSfiwv73TUhMM9FUgqaTmOSeE1xQBFXSwqG3adXBh8JVlBendsQ1HKzieVUgf2ADEh+tN7eMvqI
WGR/aPMpr67pAM1DOEGpt2cqsi4O/sBr1W5H0Q83Al1tDEwme6FUW65TZkCvdmWVY3pyUs89wjEz
YIlGJSqkqy+MOA/f3qanj74QHf6pSjqdE4LOg0uqgGr2FR0zQFD1ogqQvu0btDcSLEOgJa6u7QPg
BAEgSW0EVevTyUI6VKsMvrArh6pA/qJPzAmrl9U5X2BSES/7+ha96/Ay4PZfVoKB3hfAONFR174+
xcXSdoDIj5DIUPaOsBUTmTqz6C1qIIaYC3F1zg7QhGXL6oCm9Rm/atowF1Rv2bKGlo4voLkeMLP6
efciQ/BrWUOgWH2dlAhxT/WSz+JjfIJF/x6tkNVO6dyG4NEV6R1h8ZYCUzPrsxILHppD2+rDM0Yv
zH7HEDx1LEDGkP3mifH1+EDpkyBQLFH9U14tKVjwWmocJ+m176guKJpuyOqCpvYpFMP+AVdVV1MX
KIrqEyFVDJ1d0wK6P2VPCNhFQDrmqOzjn5ZdHA6Zqs28BTDfzvkFkEUBlEmFRtqgTzmaQEbqY2DL
O4IYcBsopZ4ghc7ZAlGrISkFwmQqGOlCJ2tZXi0twDuKok0qUGq/0EVdsGS9Ixia8P6CbvTJ4h36
BQ7NHBYJETg2l1cHpUBOSlIXYCYGE6GiiyRiebUOC+UM38GAPFD9885FSsqQajRZKZh94BFIPvB/
L0mB0hLcp+Dwhdama37BJn6TfH8Vvi/BJmA8hYpNv2gP+xTykgi1BpXF6JwUqFyrcR0JDIXx0tA1
cy6uLQImpmURBP+KQBAqLanCkQ4BSWDd0hZB5fyMeyAabr69afRNMlbMzKh9Z+dOC8oAMiTJnYA9
5POSVoFi6SXfCAMWNC4Yi1rOXfr4FD1JO0UOQ4aJR6QYtLxaW0DAiAQGTEusz5Sdc4oK2J6sFDSD
bEJZ51QbgtZhydb61NqonNCrO3VJCQjrpL0hSDoYKdONagCxrQR2H2dhUvZUI+3diwn4NpVmSngD
G0I7mgQoKX3REtDjxFmJeWmQFpVbpXPegNK0ofSJCTCZdlWNfotKCq3UEmaiD10Yu0VUB3ULN+G5
RB5Q7sSo9umwISza63orPsYfIBq44XAYe4PZNSnABysrBc7N5AtsiE+f3vIwMjKBDUjD011WKUkH
6w3ojpJGjxTQI1uBRLGO/9q6oPepNqDufZ+K75xdpEdMvuCA4ThlXwqNMOXVdo7YTSQE3PoLXeja
jqBTSHJHqCSRVICyJ+/QsosmSBLtaVS/1z60c7pAabwtGy0LKcBTAX5QqYIoLjm0CzZIE5lGKKRr
71GFJl2Kl1RDVPXK+QgT7Jz+IQsbWV1NKQgfCUEq0eLePJY37JIUNHylrBR4SeoLwFBejpcs6i+g
rSXf9KtmrVt2QTUM0Vskpwt4QrQATtNaCq1TNAiziXGk2KGrOTdoIxVZuwDObtnUYdTHp7Lo7NAu
mGYfnltLpOSqDVOFqV3aEaKSSlYXwAoo/bb1OtUuSpwaUiB2hE1+IKrzyqsSe4ekIE4QsnZBJecG
/YQgV62cRCtqsoSukHakULGSQuc8JZWFSvVQcqdJYCVOCrWrbJ2pyzJNE4RVMbr3/pTqSkMqDKig
S45/Wp+fsjwD8dINWzvPziFK9BFKmwKRcoMJxQZcezJ4DVNg9YW1ZFBg/fPumQJGYssGzRqBEj36
0Ae8AiaU6XeR4azhx+qGXTKIHPBkIRUAdop0EQJgenm1jg4YREZvQp/CCIby6p4uvDCw5pUWhlcL
UgDaeXkIWxiKWF5tgzhgy8BWJEasVGL6/aD5NxTmqSNk5LjerOwFcefJS90gr/3Cvgvi+c/rDojL
2X/+UiAwafzi3TaaV/f+1Sryd0NIZX/CwQ/3/Qrlfeq/Xr/g81s37rV/q/3/vHDn8ZTJXtCRidaX
+jFvpj4dJUwL+TH1p4cjhtA+NO/Xk/znr8ZzHgRHbyz88hiS12ecPAXgR9eNXfrYmg9cdlNIP3C8
gtt3muxfXXzGIbOL9n8Wn+DfiWI09dyfYRy4jaeu6p5ln5oZQmE8nYX7pxRPXRXTyq9Mt+Bj6j5m
aWPxsmJfdvHx3JtupvH8cOWqClZ6ZTeBb+IxPQl/niCczP/RFDszEohsZe/CNLzYnTW+J2GuqNyU
Xfl8HsaL5iNTnSbqAGVXvkDirrtfp1Rvleag/f/49/p9OZs6DQUcViVrsg986XluELrNHVlVg0kv
HczcacuKwFr3B77fZbhpqgUd+jh62Qf+8Nw2VTWy0guzQPa42u4fsdSLqthMdumrkEmez8Rcla3I
rn09dYOG9RBD1v/Axr6exltvGswOxVFXV8g/cpJMH50smadpQ6fr+gXp9d1HKNamzZbTqqhefml8
QRKmDc2uM+7yayeJy79R1LBNTGASjaJ/YvUwi9tLi1IB6aXDIG3ZkLomTXblm/mPuD3EjRoskeCX
XzqfNv0WCLDImcsvvDm5mPpR4rhNt15nY//E+u/ncTJvWCrBRvcHrOvNfHNyPS/cx4Ybq5uy/sST
fwvj1V7GwsKytEhLSi8dxqlzMprGIZ6yuTlJ3v+xG4ynq/ber9Inss//0XGbEq/yEdLLrjwikuap
pk57SS8dzxftrv6yP0F24U/zIEgYFzxtHRNqWF52+c9OOJufXCbPfFuFd8su/yXMXlHEGkr+Mzd4
roh1rYvs8ndIfw7NWSOkqGtL5dcumqfKOhsvu+59OnX2JkTYlBqull32YR77eLbGyhUQLL2yy8mm
pd41yCq79NcpfocpTs2tST+HwC6lF58n6cnDSw9foYLS67vJY8jUiUbkViclpdd+fYT0USDmJaTp
iULjOf60Jwh56a81wTXxG4/efBr//V8AAAD//w==</cx:binary>
              </cx:geoCache>
            </cx:geography>
          </cx:layoutPr>
          <cx:valueColors>
            <cx:minColor>
              <a:schemeClr val="accent2"/>
            </cx:minColor>
            <cx:midColor>
              <a:schemeClr val="bg1"/>
            </cx:mid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r" align="min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26" fmlaLink="A1" max="10" min="1" page="10" val="9"/>
</file>

<file path=xl/ctrlProps/ctrlProp2.xml><?xml version="1.0" encoding="utf-8"?>
<formControlPr xmlns="http://schemas.microsoft.com/office/spreadsheetml/2009/9/main" objectType="Radio" firstButton="1" fmlaLink="A2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17517</xdr:colOff>
      <xdr:row>0</xdr:row>
      <xdr:rowOff>26276</xdr:rowOff>
    </xdr:from>
    <xdr:to>
      <xdr:col>17</xdr:col>
      <xdr:colOff>604345</xdr:colOff>
      <xdr:row>31</xdr:row>
      <xdr:rowOff>157655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7517" y="26276"/>
          <a:ext cx="12130690" cy="5912069"/>
        </a:xfrm>
        <a:prstGeom prst="rect">
          <a:avLst/>
        </a:prstGeom>
        <a:noFill/>
        <a:ln w="285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262759</xdr:colOff>
      <xdr:row>0</xdr:row>
      <xdr:rowOff>90715</xdr:rowOff>
    </xdr:from>
    <xdr:to>
      <xdr:col>14</xdr:col>
      <xdr:colOff>63501</xdr:colOff>
      <xdr:row>4</xdr:row>
      <xdr:rowOff>9072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75862" y="90715"/>
          <a:ext cx="8892191" cy="654081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</a:rPr>
            <a:t>What does </a:t>
          </a:r>
          <a:r>
            <a:rPr lang="en-IN" sz="2800" b="1">
              <a:solidFill>
                <a:schemeClr val="accent1"/>
              </a:solidFill>
            </a:rPr>
            <a:t>Wages</a:t>
          </a:r>
          <a:r>
            <a:rPr lang="en-IN" sz="2800" b="1">
              <a:solidFill>
                <a:schemeClr val="tx1"/>
              </a:solidFill>
            </a:rPr>
            <a:t> and</a:t>
          </a:r>
          <a:r>
            <a:rPr lang="en-IN" sz="2800" b="1" baseline="0">
              <a:solidFill>
                <a:schemeClr val="tx1"/>
              </a:solidFill>
            </a:rPr>
            <a:t> </a:t>
          </a:r>
          <a:r>
            <a:rPr lang="en-IN" sz="2800" b="1" baseline="0">
              <a:solidFill>
                <a:schemeClr val="accent2"/>
              </a:solidFill>
            </a:rPr>
            <a:t>Employees</a:t>
          </a:r>
          <a:r>
            <a:rPr lang="en-IN" sz="2800" b="1" baseline="0">
              <a:solidFill>
                <a:schemeClr val="tx1"/>
              </a:solidFill>
            </a:rPr>
            <a:t> Figures look like?</a:t>
          </a:r>
          <a:endParaRPr lang="en-IN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147106</xdr:colOff>
      <xdr:row>6</xdr:row>
      <xdr:rowOff>106356</xdr:rowOff>
    </xdr:from>
    <xdr:to>
      <xdr:col>1</xdr:col>
      <xdr:colOff>1255469</xdr:colOff>
      <xdr:row>8</xdr:row>
      <xdr:rowOff>50662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47106" y="1288770"/>
          <a:ext cx="1721466" cy="312168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Average Anual Wage</a:t>
          </a:r>
        </a:p>
      </xdr:txBody>
    </xdr:sp>
    <xdr:clientData/>
  </xdr:twoCellAnchor>
  <xdr:twoCellAnchor>
    <xdr:from>
      <xdr:col>2</xdr:col>
      <xdr:colOff>175573</xdr:colOff>
      <xdr:row>16</xdr:row>
      <xdr:rowOff>92282</xdr:rowOff>
    </xdr:from>
    <xdr:to>
      <xdr:col>5</xdr:col>
      <xdr:colOff>333581</xdr:colOff>
      <xdr:row>18</xdr:row>
      <xdr:rowOff>43296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522187" y="3088327"/>
          <a:ext cx="1976417" cy="3146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200" b="1">
              <a:solidFill>
                <a:schemeClr val="tx1"/>
              </a:solidFill>
              <a:latin typeface="+mn-lt"/>
              <a:ea typeface="+mn-ea"/>
              <a:cs typeface="+mn-cs"/>
            </a:rPr>
            <a:t>Wages VS Employees Trend</a:t>
          </a:r>
        </a:p>
      </xdr:txBody>
    </xdr:sp>
    <xdr:clientData/>
  </xdr:twoCellAnchor>
  <xdr:twoCellAnchor>
    <xdr:from>
      <xdr:col>12</xdr:col>
      <xdr:colOff>186873</xdr:colOff>
      <xdr:row>5</xdr:row>
      <xdr:rowOff>10801</xdr:rowOff>
    </xdr:from>
    <xdr:to>
      <xdr:col>13</xdr:col>
      <xdr:colOff>175172</xdr:colOff>
      <xdr:row>6</xdr:row>
      <xdr:rowOff>33243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8665218" y="930456"/>
          <a:ext cx="601402" cy="285201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Maps</a:t>
          </a:r>
        </a:p>
      </xdr:txBody>
    </xdr:sp>
    <xdr:clientData/>
  </xdr:twoCellAnchor>
  <xdr:twoCellAnchor editAs="absolute">
    <xdr:from>
      <xdr:col>0</xdr:col>
      <xdr:colOff>182139</xdr:colOff>
      <xdr:row>8</xdr:row>
      <xdr:rowOff>140138</xdr:rowOff>
    </xdr:from>
    <xdr:to>
      <xdr:col>5</xdr:col>
      <xdr:colOff>289034</xdr:colOff>
      <xdr:row>30</xdr:row>
      <xdr:rowOff>104904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303768</xdr:colOff>
      <xdr:row>6</xdr:row>
      <xdr:rowOff>103324</xdr:rowOff>
    </xdr:from>
    <xdr:to>
      <xdr:col>9</xdr:col>
      <xdr:colOff>87290</xdr:colOff>
      <xdr:row>13</xdr:row>
      <xdr:rowOff>78131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111476</xdr:colOff>
      <xdr:row>15</xdr:row>
      <xdr:rowOff>148897</xdr:rowOff>
    </xdr:from>
    <xdr:to>
      <xdr:col>9</xdr:col>
      <xdr:colOff>296004</xdr:colOff>
      <xdr:row>31</xdr:row>
      <xdr:rowOff>113862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pSpPr/>
      </xdr:nvGrpSpPr>
      <xdr:grpSpPr>
        <a:xfrm>
          <a:off x="4298097" y="2986690"/>
          <a:ext cx="2636941" cy="2907862"/>
          <a:chOff x="4298097" y="3753061"/>
          <a:chExt cx="2636941" cy="2182080"/>
        </a:xfrm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GraphicFramePr>
            <a:graphicFrameLocks/>
          </xdr:cNvGraphicFramePr>
        </xdr:nvGraphicFramePr>
        <xdr:xfrm>
          <a:off x="4298097" y="3753061"/>
          <a:ext cx="2550051" cy="9661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GraphicFramePr>
            <a:graphicFrameLocks/>
          </xdr:cNvGraphicFramePr>
        </xdr:nvGraphicFramePr>
        <xdr:xfrm>
          <a:off x="4326760" y="4541764"/>
          <a:ext cx="2608278" cy="13933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7</xdr:col>
      <xdr:colOff>310731</xdr:colOff>
      <xdr:row>8</xdr:row>
      <xdr:rowOff>46262</xdr:rowOff>
    </xdr:from>
    <xdr:to>
      <xdr:col>9</xdr:col>
      <xdr:colOff>267437</xdr:colOff>
      <xdr:row>10</xdr:row>
      <xdr:rowOff>86490</xdr:rowOff>
    </xdr:to>
    <xdr:sp macro="" textlink="'Data Prep'!I23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723559" y="1596538"/>
          <a:ext cx="1182912" cy="4080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916876C-9077-45C1-AC36-F8885C7C9A55}" type="TxLink">
            <a:rPr lang="en-US" sz="2800" b="0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7%</a:t>
          </a:fld>
          <a:endParaRPr lang="en-IN" sz="2800">
            <a:solidFill>
              <a:schemeClr val="accent2"/>
            </a:solidFill>
          </a:endParaRPr>
        </a:p>
      </xdr:txBody>
    </xdr:sp>
    <xdr:clientData/>
  </xdr:twoCellAnchor>
  <xdr:twoCellAnchor>
    <xdr:from>
      <xdr:col>9</xdr:col>
      <xdr:colOff>244945</xdr:colOff>
      <xdr:row>8</xdr:row>
      <xdr:rowOff>183732</xdr:rowOff>
    </xdr:from>
    <xdr:to>
      <xdr:col>17</xdr:col>
      <xdr:colOff>218968</xdr:colOff>
      <xdr:row>28</xdr:row>
      <xdr:rowOff>86392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9105" y="1730592"/>
              <a:ext cx="4850823" cy="3560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1470660</xdr:colOff>
          <xdr:row>5</xdr:row>
          <xdr:rowOff>0</xdr:rowOff>
        </xdr:from>
        <xdr:to>
          <xdr:col>2</xdr:col>
          <xdr:colOff>7620</xdr:colOff>
          <xdr:row>6</xdr:row>
          <xdr:rowOff>7620</xdr:rowOff>
        </xdr:to>
        <xdr:sp macro="" textlink="">
          <xdr:nvSpPr>
            <xdr:cNvPr id="3083" name="Spinner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6</xdr:row>
          <xdr:rowOff>83820</xdr:rowOff>
        </xdr:from>
        <xdr:to>
          <xdr:col>12</xdr:col>
          <xdr:colOff>457200</xdr:colOff>
          <xdr:row>8</xdr:row>
          <xdr:rowOff>45720</xdr:rowOff>
        </xdr:to>
        <xdr:sp macro="" textlink="">
          <xdr:nvSpPr>
            <xdr:cNvPr id="3085" name="Option Button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100 Capita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45720</xdr:colOff>
          <xdr:row>6</xdr:row>
          <xdr:rowOff>114300</xdr:rowOff>
        </xdr:from>
        <xdr:to>
          <xdr:col>15</xdr:col>
          <xdr:colOff>480060</xdr:colOff>
          <xdr:row>7</xdr:row>
          <xdr:rowOff>182880</xdr:rowOff>
        </xdr:to>
        <xdr:sp macro="" textlink="">
          <xdr:nvSpPr>
            <xdr:cNvPr id="3086" name="Option Button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by Wage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297497</xdr:colOff>
      <xdr:row>8</xdr:row>
      <xdr:rowOff>87386</xdr:rowOff>
    </xdr:from>
    <xdr:to>
      <xdr:col>17</xdr:col>
      <xdr:colOff>271520</xdr:colOff>
      <xdr:row>30</xdr:row>
      <xdr:rowOff>35034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1657" y="1634246"/>
              <a:ext cx="4850823" cy="39710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317347</xdr:colOff>
      <xdr:row>5</xdr:row>
      <xdr:rowOff>19257</xdr:rowOff>
    </xdr:from>
    <xdr:to>
      <xdr:col>8</xdr:col>
      <xdr:colOff>201069</xdr:colOff>
      <xdr:row>6</xdr:row>
      <xdr:rowOff>80540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503968" y="938912"/>
          <a:ext cx="1723032" cy="324042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Employee Share</a:t>
          </a:r>
        </a:p>
      </xdr:txBody>
    </xdr:sp>
    <xdr:clientData/>
  </xdr:twoCellAnchor>
  <xdr:twoCellAnchor>
    <xdr:from>
      <xdr:col>5</xdr:col>
      <xdr:colOff>68603</xdr:colOff>
      <xdr:row>14</xdr:row>
      <xdr:rowOff>94580</xdr:rowOff>
    </xdr:from>
    <xdr:to>
      <xdr:col>9</xdr:col>
      <xdr:colOff>113864</xdr:colOff>
      <xdr:row>16</xdr:row>
      <xdr:rowOff>50760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255224" y="2748442"/>
          <a:ext cx="2497674" cy="324042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tx1"/>
              </a:solidFill>
            </a:rPr>
            <a:t>Employee Comparison across States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fb>4887871</fb>
    <v>0</v>
  </rv>
  <rv s="0">
    <fb>7171646</fb>
    <v>0</v>
  </rv>
  <rv s="0">
    <fb>3013825</fb>
    <v>0</v>
  </rv>
  <rv s="0">
    <fb>39557045</fb>
    <v>0</v>
  </rv>
  <rv s="0">
    <fb>5695564</fb>
    <v>0</v>
  </rv>
  <rv s="0">
    <fb>3572665</fb>
    <v>0</v>
  </rv>
  <rv s="0">
    <fb>967171</fb>
    <v>0</v>
  </rv>
  <rv s="0">
    <fb>21670000</fb>
    <v>0</v>
  </rv>
  <rv s="0">
    <fb>10519475</fb>
    <v>0</v>
  </rv>
  <rv s="0">
    <fb>1754208</fb>
    <v>0</v>
  </rv>
  <rv s="0">
    <fb>12741080</fb>
    <v>0</v>
  </rv>
  <rv s="0">
    <fb>6691878</fb>
    <v>0</v>
  </rv>
  <rv s="0">
    <fb>3156145</fb>
    <v>0</v>
  </rv>
  <rv s="0">
    <fb>2911505</fb>
    <v>0</v>
  </rv>
  <rv s="0">
    <fb>4468402</fb>
    <v>0</v>
  </rv>
  <rv s="0">
    <fb>4659978</fb>
    <v>0</v>
  </rv>
  <rv s="0">
    <fb>1338404</fb>
    <v>0</v>
  </rv>
  <rv s="0">
    <fb>6042718</fb>
    <v>0</v>
  </rv>
  <rv s="0">
    <fb>6902149</fb>
    <v>0</v>
  </rv>
  <rv s="0">
    <fb>9995915</fb>
    <v>0</v>
  </rv>
  <rv s="0">
    <fb>5611179</fb>
    <v>0</v>
  </rv>
  <rv s="0">
    <fb>2963914</fb>
    <v>0</v>
  </rv>
  <rv s="0">
    <fb>6126452</fb>
    <v>0</v>
  </rv>
  <rv s="0">
    <fb>1062305</fb>
    <v>0</v>
  </rv>
  <rv s="0">
    <fb>1929268</fb>
    <v>0</v>
  </rv>
  <rv s="0">
    <fb>3034392</fb>
    <v>0</v>
  </rv>
  <rv s="0">
    <fb>1356458</fb>
    <v>0</v>
  </rv>
  <rv s="0">
    <fb>8908520</fb>
    <v>0</v>
  </rv>
  <rv s="0">
    <fb>2095428</fb>
    <v>0</v>
  </rv>
  <rv s="0">
    <fb>19542209</fb>
    <v>0</v>
  </rv>
  <rv s="0">
    <fb>10383620</fb>
    <v>0</v>
  </rv>
  <rv s="0">
    <fb>760077</fb>
    <v>0</v>
  </rv>
  <rv s="0">
    <fb>11689442</fb>
    <v>0</v>
  </rv>
  <rv s="0">
    <fb>3943079</fb>
    <v>0</v>
  </rv>
  <rv s="0">
    <fb>4190713</fb>
    <v>0</v>
  </rv>
  <rv s="0">
    <fb>12807060</fb>
    <v>0</v>
  </rv>
  <rv s="0">
    <fb>1057315</fb>
    <v>0</v>
  </rv>
  <rv s="0">
    <fb>5084127</fb>
    <v>0</v>
  </rv>
  <rv s="0">
    <fb>882235</fb>
    <v>0</v>
  </rv>
  <rv s="0">
    <fb>6770010</fb>
    <v>0</v>
  </rv>
  <rv s="0">
    <fb>28701845</fb>
    <v>0</v>
  </rv>
  <rv s="0">
    <fb>3161105</fb>
    <v>0</v>
  </rv>
  <rv s="0">
    <fb>626299</fb>
    <v>0</v>
  </rv>
  <rv s="0">
    <fb>8517685</fb>
    <v>0</v>
  </rv>
  <rv s="0">
    <fb>7614893</fb>
    <v>0</v>
  </rv>
  <rv s="0">
    <fb>1805832</fb>
    <v>0</v>
  </rv>
  <rv s="0">
    <fb>5813568</fb>
    <v>0</v>
  </rv>
  <rv s="0">
    <fb>577737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CB40-3341-4C37-B344-0ACF41465ED3}">
  <dimension ref="A1:F1919"/>
  <sheetViews>
    <sheetView workbookViewId="0">
      <selection sqref="A1:F16"/>
    </sheetView>
  </sheetViews>
  <sheetFormatPr defaultRowHeight="14.4" x14ac:dyDescent="0.3"/>
  <cols>
    <col min="1" max="1" width="5" bestFit="1" customWidth="1"/>
    <col min="2" max="2" width="20.21875" bestFit="1" customWidth="1"/>
    <col min="3" max="3" width="14" bestFit="1" customWidth="1"/>
    <col min="4" max="4" width="13.6640625" bestFit="1" customWidth="1"/>
    <col min="5" max="5" width="10.109375" bestFit="1" customWidth="1"/>
    <col min="6" max="6" width="1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2020</v>
      </c>
      <c r="B2" t="s">
        <v>6</v>
      </c>
      <c r="C2" t="s">
        <v>7</v>
      </c>
      <c r="D2" s="2">
        <v>1829</v>
      </c>
      <c r="E2" s="2">
        <v>18051</v>
      </c>
      <c r="F2" s="3">
        <v>58872</v>
      </c>
    </row>
    <row r="3" spans="1:6" x14ac:dyDescent="0.3">
      <c r="A3">
        <v>2020</v>
      </c>
      <c r="B3" t="s">
        <v>6</v>
      </c>
      <c r="C3" t="s">
        <v>8</v>
      </c>
      <c r="D3" s="2">
        <v>1354</v>
      </c>
      <c r="E3" s="2">
        <v>35607</v>
      </c>
      <c r="F3" s="3">
        <v>55216</v>
      </c>
    </row>
    <row r="4" spans="1:6" x14ac:dyDescent="0.3">
      <c r="A4">
        <v>2020</v>
      </c>
      <c r="B4" t="s">
        <v>6</v>
      </c>
      <c r="C4" t="s">
        <v>9</v>
      </c>
      <c r="D4" s="2">
        <v>2565</v>
      </c>
      <c r="E4" s="2">
        <v>15961</v>
      </c>
      <c r="F4" s="3">
        <v>49909</v>
      </c>
    </row>
    <row r="5" spans="1:6" x14ac:dyDescent="0.3">
      <c r="A5">
        <v>2020</v>
      </c>
      <c r="B5" t="s">
        <v>6</v>
      </c>
      <c r="C5" t="s">
        <v>10</v>
      </c>
      <c r="D5" s="2">
        <v>17651</v>
      </c>
      <c r="E5" s="2">
        <v>425665</v>
      </c>
      <c r="F5" s="3">
        <v>42534</v>
      </c>
    </row>
    <row r="6" spans="1:6" x14ac:dyDescent="0.3">
      <c r="A6">
        <v>2020</v>
      </c>
      <c r="B6" t="s">
        <v>6</v>
      </c>
      <c r="C6" t="s">
        <v>11</v>
      </c>
      <c r="D6" s="2">
        <v>3312</v>
      </c>
      <c r="E6" s="2">
        <v>41633</v>
      </c>
      <c r="F6" s="3">
        <v>91879</v>
      </c>
    </row>
    <row r="7" spans="1:6" x14ac:dyDescent="0.3">
      <c r="A7">
        <v>2020</v>
      </c>
      <c r="B7" t="s">
        <v>6</v>
      </c>
      <c r="C7" t="s">
        <v>12</v>
      </c>
      <c r="D7">
        <v>467</v>
      </c>
      <c r="E7" s="2">
        <v>5260</v>
      </c>
      <c r="F7" s="3">
        <v>43142</v>
      </c>
    </row>
    <row r="8" spans="1:6" x14ac:dyDescent="0.3">
      <c r="A8">
        <v>2020</v>
      </c>
      <c r="B8" t="s">
        <v>6</v>
      </c>
      <c r="C8" t="s">
        <v>13</v>
      </c>
      <c r="D8">
        <v>186</v>
      </c>
      <c r="E8" s="2">
        <v>1317</v>
      </c>
      <c r="F8" s="3">
        <v>43290</v>
      </c>
    </row>
    <row r="9" spans="1:6" x14ac:dyDescent="0.3">
      <c r="A9">
        <v>2020</v>
      </c>
      <c r="B9" t="s">
        <v>6</v>
      </c>
      <c r="C9" t="s">
        <v>14</v>
      </c>
      <c r="D9" s="2">
        <v>5394</v>
      </c>
      <c r="E9" s="2">
        <v>71107</v>
      </c>
      <c r="F9" s="3">
        <v>37717</v>
      </c>
    </row>
    <row r="10" spans="1:6" x14ac:dyDescent="0.3">
      <c r="A10">
        <v>2020</v>
      </c>
      <c r="B10" t="s">
        <v>6</v>
      </c>
      <c r="C10" t="s">
        <v>15</v>
      </c>
      <c r="D10" s="2">
        <v>2794</v>
      </c>
      <c r="E10" s="2">
        <v>29309</v>
      </c>
      <c r="F10" s="3">
        <v>45978</v>
      </c>
    </row>
    <row r="11" spans="1:6" x14ac:dyDescent="0.3">
      <c r="A11">
        <v>2020</v>
      </c>
      <c r="B11" t="s">
        <v>6</v>
      </c>
      <c r="C11" t="s">
        <v>16</v>
      </c>
      <c r="D11" s="2">
        <v>2531</v>
      </c>
      <c r="E11" s="2">
        <v>27020</v>
      </c>
      <c r="F11" s="3">
        <v>42820</v>
      </c>
    </row>
    <row r="12" spans="1:6" x14ac:dyDescent="0.3">
      <c r="A12">
        <v>2020</v>
      </c>
      <c r="B12" t="s">
        <v>6</v>
      </c>
      <c r="C12" t="s">
        <v>17</v>
      </c>
      <c r="D12" s="2">
        <v>2818</v>
      </c>
      <c r="E12" s="2">
        <v>24933</v>
      </c>
      <c r="F12" s="3">
        <v>52259</v>
      </c>
    </row>
    <row r="13" spans="1:6" x14ac:dyDescent="0.3">
      <c r="A13">
        <v>2020</v>
      </c>
      <c r="B13" t="s">
        <v>6</v>
      </c>
      <c r="C13" t="s">
        <v>18</v>
      </c>
      <c r="D13" s="2">
        <v>2302</v>
      </c>
      <c r="E13" s="2">
        <v>20872</v>
      </c>
      <c r="F13" s="3">
        <v>50732</v>
      </c>
    </row>
    <row r="14" spans="1:6" x14ac:dyDescent="0.3">
      <c r="A14">
        <v>2020</v>
      </c>
      <c r="B14" t="s">
        <v>6</v>
      </c>
      <c r="C14" t="s">
        <v>19</v>
      </c>
      <c r="D14" s="2">
        <v>2911</v>
      </c>
      <c r="E14" s="2">
        <v>22868</v>
      </c>
      <c r="F14" s="3">
        <v>45588</v>
      </c>
    </row>
    <row r="15" spans="1:6" x14ac:dyDescent="0.3">
      <c r="A15">
        <v>2020</v>
      </c>
      <c r="B15" t="s">
        <v>6</v>
      </c>
      <c r="C15" t="s">
        <v>20</v>
      </c>
      <c r="D15" s="2">
        <v>2613</v>
      </c>
      <c r="E15" s="2">
        <v>18607</v>
      </c>
      <c r="F15" s="3">
        <v>47721</v>
      </c>
    </row>
    <row r="16" spans="1:6" x14ac:dyDescent="0.3">
      <c r="A16">
        <v>2020</v>
      </c>
      <c r="B16" t="s">
        <v>6</v>
      </c>
      <c r="C16" t="s">
        <v>21</v>
      </c>
      <c r="D16" s="2">
        <v>1632</v>
      </c>
      <c r="E16" s="2">
        <v>16061</v>
      </c>
      <c r="F16" s="3">
        <v>54605</v>
      </c>
    </row>
    <row r="17" spans="1:6" x14ac:dyDescent="0.3">
      <c r="A17">
        <v>2020</v>
      </c>
      <c r="B17" t="s">
        <v>6</v>
      </c>
      <c r="C17" t="s">
        <v>22</v>
      </c>
      <c r="D17" s="2">
        <v>3143</v>
      </c>
      <c r="E17" s="2">
        <v>37751</v>
      </c>
      <c r="F17" s="3">
        <v>86727</v>
      </c>
    </row>
    <row r="18" spans="1:6" x14ac:dyDescent="0.3">
      <c r="A18">
        <v>2020</v>
      </c>
      <c r="B18" t="s">
        <v>6</v>
      </c>
      <c r="C18" t="s">
        <v>23</v>
      </c>
      <c r="D18" s="2">
        <v>1581</v>
      </c>
      <c r="E18" s="2">
        <v>7787</v>
      </c>
      <c r="F18" s="3">
        <v>41422</v>
      </c>
    </row>
    <row r="19" spans="1:6" x14ac:dyDescent="0.3">
      <c r="A19">
        <v>2020</v>
      </c>
      <c r="B19" t="s">
        <v>6</v>
      </c>
      <c r="C19" t="s">
        <v>24</v>
      </c>
      <c r="D19">
        <v>720</v>
      </c>
      <c r="E19" s="2">
        <v>7112</v>
      </c>
      <c r="F19" s="3">
        <v>46887</v>
      </c>
    </row>
    <row r="20" spans="1:6" x14ac:dyDescent="0.3">
      <c r="A20">
        <v>2020</v>
      </c>
      <c r="B20" t="s">
        <v>6</v>
      </c>
      <c r="C20" t="s">
        <v>25</v>
      </c>
      <c r="D20">
        <v>999</v>
      </c>
      <c r="E20" s="2">
        <v>11134</v>
      </c>
      <c r="F20" s="3">
        <v>64628</v>
      </c>
    </row>
    <row r="21" spans="1:6" x14ac:dyDescent="0.3">
      <c r="A21">
        <v>2020</v>
      </c>
      <c r="B21" t="s">
        <v>6</v>
      </c>
      <c r="C21" t="s">
        <v>26</v>
      </c>
      <c r="D21" s="2">
        <v>3574</v>
      </c>
      <c r="E21" s="2">
        <v>34897</v>
      </c>
      <c r="F21" s="3">
        <v>43309</v>
      </c>
    </row>
    <row r="22" spans="1:6" x14ac:dyDescent="0.3">
      <c r="A22">
        <v>2020</v>
      </c>
      <c r="B22" t="s">
        <v>6</v>
      </c>
      <c r="C22" t="s">
        <v>27</v>
      </c>
      <c r="D22" s="2">
        <v>3175</v>
      </c>
      <c r="E22" s="2">
        <v>28204</v>
      </c>
      <c r="F22" s="3">
        <v>51276</v>
      </c>
    </row>
    <row r="23" spans="1:6" x14ac:dyDescent="0.3">
      <c r="A23">
        <v>2020</v>
      </c>
      <c r="B23" t="s">
        <v>6</v>
      </c>
      <c r="C23" t="s">
        <v>28</v>
      </c>
      <c r="D23" s="2">
        <v>2070</v>
      </c>
      <c r="E23" s="2">
        <v>14561</v>
      </c>
      <c r="F23" s="3">
        <v>50525</v>
      </c>
    </row>
    <row r="24" spans="1:6" x14ac:dyDescent="0.3">
      <c r="A24">
        <v>2020</v>
      </c>
      <c r="B24" t="s">
        <v>6</v>
      </c>
      <c r="C24" t="s">
        <v>29</v>
      </c>
      <c r="D24" s="2">
        <v>2123</v>
      </c>
      <c r="E24" s="2">
        <v>16963</v>
      </c>
      <c r="F24" s="3">
        <v>46677</v>
      </c>
    </row>
    <row r="25" spans="1:6" x14ac:dyDescent="0.3">
      <c r="A25">
        <v>2020</v>
      </c>
      <c r="B25" t="s">
        <v>6</v>
      </c>
      <c r="C25" t="s">
        <v>30</v>
      </c>
      <c r="D25" s="2">
        <v>1847</v>
      </c>
      <c r="E25" s="2">
        <v>12449</v>
      </c>
      <c r="F25" s="3">
        <v>65945</v>
      </c>
    </row>
    <row r="26" spans="1:6" x14ac:dyDescent="0.3">
      <c r="A26">
        <v>2020</v>
      </c>
      <c r="B26" t="s">
        <v>6</v>
      </c>
      <c r="C26" t="s">
        <v>31</v>
      </c>
      <c r="D26" s="2">
        <v>2469</v>
      </c>
      <c r="E26" s="2">
        <v>16054</v>
      </c>
      <c r="F26" s="3">
        <v>44449</v>
      </c>
    </row>
    <row r="27" spans="1:6" x14ac:dyDescent="0.3">
      <c r="A27">
        <v>2020</v>
      </c>
      <c r="B27" t="s">
        <v>6</v>
      </c>
      <c r="C27" t="s">
        <v>32</v>
      </c>
      <c r="D27">
        <v>598</v>
      </c>
      <c r="E27" s="2">
        <v>19509</v>
      </c>
      <c r="F27" s="3">
        <v>88060</v>
      </c>
    </row>
    <row r="28" spans="1:6" x14ac:dyDescent="0.3">
      <c r="A28">
        <v>2020</v>
      </c>
      <c r="B28" t="s">
        <v>6</v>
      </c>
      <c r="C28" t="s">
        <v>33</v>
      </c>
      <c r="D28">
        <v>350</v>
      </c>
      <c r="E28" s="2">
        <v>2671</v>
      </c>
      <c r="F28" s="3">
        <v>48051</v>
      </c>
    </row>
    <row r="29" spans="1:6" x14ac:dyDescent="0.3">
      <c r="A29">
        <v>2020</v>
      </c>
      <c r="B29" t="s">
        <v>6</v>
      </c>
      <c r="C29" t="s">
        <v>34</v>
      </c>
      <c r="D29">
        <v>999</v>
      </c>
      <c r="E29" s="2">
        <v>11868</v>
      </c>
      <c r="F29" s="3">
        <v>44634</v>
      </c>
    </row>
    <row r="30" spans="1:6" x14ac:dyDescent="0.3">
      <c r="A30">
        <v>2020</v>
      </c>
      <c r="B30" t="s">
        <v>6</v>
      </c>
      <c r="C30" t="s">
        <v>35</v>
      </c>
      <c r="D30" s="2">
        <v>2064</v>
      </c>
      <c r="E30" s="2">
        <v>30471</v>
      </c>
      <c r="F30" s="3">
        <v>65885</v>
      </c>
    </row>
    <row r="31" spans="1:6" x14ac:dyDescent="0.3">
      <c r="A31">
        <v>2020</v>
      </c>
      <c r="B31" t="s">
        <v>6</v>
      </c>
      <c r="C31" t="s">
        <v>36</v>
      </c>
      <c r="D31" s="2">
        <v>3335</v>
      </c>
      <c r="E31" s="2">
        <v>31214</v>
      </c>
      <c r="F31" s="3">
        <v>44384</v>
      </c>
    </row>
    <row r="32" spans="1:6" x14ac:dyDescent="0.3">
      <c r="A32">
        <v>2020</v>
      </c>
      <c r="B32" t="s">
        <v>6</v>
      </c>
      <c r="C32" t="s">
        <v>37</v>
      </c>
      <c r="D32" s="2">
        <v>3428</v>
      </c>
      <c r="E32" s="2">
        <v>29560</v>
      </c>
      <c r="F32" s="3">
        <v>42720</v>
      </c>
    </row>
    <row r="33" spans="1:6" x14ac:dyDescent="0.3">
      <c r="A33">
        <v>2020</v>
      </c>
      <c r="B33" t="s">
        <v>6</v>
      </c>
      <c r="C33" t="s">
        <v>38</v>
      </c>
      <c r="D33" s="2">
        <v>1830</v>
      </c>
      <c r="E33" s="2">
        <v>19954</v>
      </c>
      <c r="F33" s="3">
        <v>92355</v>
      </c>
    </row>
    <row r="34" spans="1:6" x14ac:dyDescent="0.3">
      <c r="A34">
        <v>2020</v>
      </c>
      <c r="B34" t="s">
        <v>6</v>
      </c>
      <c r="C34" t="s">
        <v>39</v>
      </c>
      <c r="D34" s="2">
        <v>2541</v>
      </c>
      <c r="E34" s="2">
        <v>25841</v>
      </c>
      <c r="F34" s="3">
        <v>51404</v>
      </c>
    </row>
    <row r="35" spans="1:6" x14ac:dyDescent="0.3">
      <c r="A35">
        <v>2020</v>
      </c>
      <c r="B35" t="s">
        <v>6</v>
      </c>
      <c r="C35" t="s">
        <v>40</v>
      </c>
      <c r="D35" s="2">
        <v>4355</v>
      </c>
      <c r="E35" s="2">
        <v>40722</v>
      </c>
      <c r="F35" s="3">
        <v>90660</v>
      </c>
    </row>
    <row r="36" spans="1:6" x14ac:dyDescent="0.3">
      <c r="A36">
        <v>2020</v>
      </c>
      <c r="B36" t="s">
        <v>6</v>
      </c>
      <c r="C36" t="s">
        <v>41</v>
      </c>
      <c r="D36" s="2">
        <v>4739</v>
      </c>
      <c r="E36" s="2">
        <v>54360</v>
      </c>
      <c r="F36" s="3">
        <v>40689</v>
      </c>
    </row>
    <row r="37" spans="1:6" x14ac:dyDescent="0.3">
      <c r="A37">
        <v>2020</v>
      </c>
      <c r="B37" t="s">
        <v>6</v>
      </c>
      <c r="C37" t="s">
        <v>42</v>
      </c>
      <c r="D37" s="2">
        <v>3629</v>
      </c>
      <c r="E37" s="2">
        <v>47789</v>
      </c>
      <c r="F37" s="3">
        <v>61949</v>
      </c>
    </row>
    <row r="38" spans="1:6" x14ac:dyDescent="0.3">
      <c r="A38">
        <v>2020</v>
      </c>
      <c r="B38" t="s">
        <v>6</v>
      </c>
      <c r="C38" t="s">
        <v>43</v>
      </c>
      <c r="D38">
        <v>205</v>
      </c>
      <c r="E38" s="2">
        <v>1128</v>
      </c>
      <c r="F38" s="3">
        <v>42071</v>
      </c>
    </row>
    <row r="39" spans="1:6" x14ac:dyDescent="0.3">
      <c r="A39">
        <v>2020</v>
      </c>
      <c r="B39" t="s">
        <v>6</v>
      </c>
      <c r="C39" t="s">
        <v>44</v>
      </c>
      <c r="D39" s="2">
        <v>1375</v>
      </c>
      <c r="E39" s="2">
        <v>12442</v>
      </c>
      <c r="F39" s="3">
        <v>44990</v>
      </c>
    </row>
    <row r="40" spans="1:6" x14ac:dyDescent="0.3">
      <c r="A40">
        <v>2020</v>
      </c>
      <c r="B40" t="s">
        <v>6</v>
      </c>
      <c r="C40" t="s">
        <v>45</v>
      </c>
      <c r="D40" s="2">
        <v>1099</v>
      </c>
      <c r="E40" s="2">
        <v>7137</v>
      </c>
      <c r="F40" s="3">
        <v>45582</v>
      </c>
    </row>
    <row r="41" spans="1:6" x14ac:dyDescent="0.3">
      <c r="A41">
        <v>2020</v>
      </c>
      <c r="B41" t="s">
        <v>6</v>
      </c>
      <c r="C41" t="s">
        <v>46</v>
      </c>
      <c r="D41" s="2">
        <v>1130</v>
      </c>
      <c r="E41" s="2">
        <v>11134</v>
      </c>
      <c r="F41" s="3">
        <v>48930</v>
      </c>
    </row>
    <row r="42" spans="1:6" x14ac:dyDescent="0.3">
      <c r="A42">
        <v>2020</v>
      </c>
      <c r="B42" t="s">
        <v>6</v>
      </c>
      <c r="C42" t="s">
        <v>47</v>
      </c>
      <c r="D42" s="2">
        <v>19698</v>
      </c>
      <c r="E42" s="2">
        <v>249859</v>
      </c>
      <c r="F42" s="3">
        <v>117086</v>
      </c>
    </row>
    <row r="43" spans="1:6" x14ac:dyDescent="0.3">
      <c r="A43">
        <v>2020</v>
      </c>
      <c r="B43" t="s">
        <v>6</v>
      </c>
      <c r="C43" t="s">
        <v>48</v>
      </c>
      <c r="D43" s="2">
        <v>1066</v>
      </c>
      <c r="E43" s="2">
        <v>14648</v>
      </c>
      <c r="F43" s="3">
        <v>65747</v>
      </c>
    </row>
    <row r="44" spans="1:6" x14ac:dyDescent="0.3">
      <c r="A44">
        <v>2020</v>
      </c>
      <c r="B44" t="s">
        <v>6</v>
      </c>
      <c r="C44" t="s">
        <v>49</v>
      </c>
      <c r="D44">
        <v>571</v>
      </c>
      <c r="E44" s="2">
        <v>4095</v>
      </c>
      <c r="F44" s="3">
        <v>41096</v>
      </c>
    </row>
    <row r="45" spans="1:6" x14ac:dyDescent="0.3">
      <c r="A45">
        <v>2020</v>
      </c>
      <c r="B45" t="s">
        <v>6</v>
      </c>
      <c r="C45" t="s">
        <v>50</v>
      </c>
      <c r="D45" s="2">
        <v>2073</v>
      </c>
      <c r="E45" s="2">
        <v>17603</v>
      </c>
      <c r="F45" s="3">
        <v>48671</v>
      </c>
    </row>
    <row r="46" spans="1:6" x14ac:dyDescent="0.3">
      <c r="A46">
        <v>2020</v>
      </c>
      <c r="B46" t="s">
        <v>6</v>
      </c>
      <c r="C46" t="s">
        <v>51</v>
      </c>
      <c r="D46" s="2">
        <v>6971</v>
      </c>
      <c r="E46" s="2">
        <v>101358</v>
      </c>
      <c r="F46" s="3">
        <v>36964</v>
      </c>
    </row>
    <row r="47" spans="1:6" x14ac:dyDescent="0.3">
      <c r="A47">
        <v>2020</v>
      </c>
      <c r="B47" t="s">
        <v>6</v>
      </c>
      <c r="C47" t="s">
        <v>52</v>
      </c>
      <c r="D47" s="2">
        <v>1117</v>
      </c>
      <c r="E47" s="2">
        <v>18455</v>
      </c>
      <c r="F47" s="3">
        <v>78059</v>
      </c>
    </row>
    <row r="48" spans="1:6" x14ac:dyDescent="0.3">
      <c r="A48">
        <v>2020</v>
      </c>
      <c r="B48" t="s">
        <v>6</v>
      </c>
      <c r="C48" t="s">
        <v>53</v>
      </c>
      <c r="D48" s="2">
        <v>2872</v>
      </c>
      <c r="E48" s="2">
        <v>30781</v>
      </c>
      <c r="F48" s="3">
        <v>41928</v>
      </c>
    </row>
    <row r="49" spans="1:6" x14ac:dyDescent="0.3">
      <c r="A49">
        <v>2020</v>
      </c>
      <c r="B49" t="s">
        <v>6</v>
      </c>
      <c r="C49" t="s">
        <v>54</v>
      </c>
      <c r="D49" s="2">
        <v>1440</v>
      </c>
      <c r="E49" s="2">
        <v>19091</v>
      </c>
      <c r="F49" s="3">
        <v>83063</v>
      </c>
    </row>
    <row r="50" spans="1:6" x14ac:dyDescent="0.3">
      <c r="A50">
        <v>2020</v>
      </c>
      <c r="B50" t="s">
        <v>55</v>
      </c>
      <c r="C50" t="s">
        <v>7</v>
      </c>
      <c r="D50" s="2">
        <v>10335</v>
      </c>
      <c r="E50" s="2">
        <v>92772</v>
      </c>
      <c r="F50" s="3">
        <v>59279</v>
      </c>
    </row>
    <row r="51" spans="1:6" x14ac:dyDescent="0.3">
      <c r="A51">
        <v>2020</v>
      </c>
      <c r="B51" t="s">
        <v>55</v>
      </c>
      <c r="C51" t="s">
        <v>8</v>
      </c>
      <c r="D51" s="2">
        <v>14006</v>
      </c>
      <c r="E51" s="2">
        <v>173852</v>
      </c>
      <c r="F51" s="3">
        <v>63056</v>
      </c>
    </row>
    <row r="52" spans="1:6" x14ac:dyDescent="0.3">
      <c r="A52">
        <v>2020</v>
      </c>
      <c r="B52" t="s">
        <v>55</v>
      </c>
      <c r="C52" t="s">
        <v>9</v>
      </c>
      <c r="D52" s="2">
        <v>7277</v>
      </c>
      <c r="E52" s="2">
        <v>53142</v>
      </c>
      <c r="F52" s="3">
        <v>52247</v>
      </c>
    </row>
    <row r="53" spans="1:6" x14ac:dyDescent="0.3">
      <c r="A53">
        <v>2020</v>
      </c>
      <c r="B53" t="s">
        <v>55</v>
      </c>
      <c r="C53" t="s">
        <v>10</v>
      </c>
      <c r="D53" s="2">
        <v>86322</v>
      </c>
      <c r="E53" s="2">
        <v>855879</v>
      </c>
      <c r="F53" s="3">
        <v>76740</v>
      </c>
    </row>
    <row r="54" spans="1:6" x14ac:dyDescent="0.3">
      <c r="A54">
        <v>2020</v>
      </c>
      <c r="B54" t="s">
        <v>55</v>
      </c>
      <c r="C54" t="s">
        <v>11</v>
      </c>
      <c r="D54" s="2">
        <v>21025</v>
      </c>
      <c r="E54" s="2">
        <v>174730</v>
      </c>
      <c r="F54" s="3">
        <v>68209</v>
      </c>
    </row>
    <row r="55" spans="1:6" x14ac:dyDescent="0.3">
      <c r="A55">
        <v>2020</v>
      </c>
      <c r="B55" t="s">
        <v>55</v>
      </c>
      <c r="C55" t="s">
        <v>12</v>
      </c>
      <c r="D55" s="2">
        <v>9415</v>
      </c>
      <c r="E55" s="2">
        <v>56915</v>
      </c>
      <c r="F55" s="3">
        <v>75591</v>
      </c>
    </row>
    <row r="56" spans="1:6" x14ac:dyDescent="0.3">
      <c r="A56">
        <v>2020</v>
      </c>
      <c r="B56" t="s">
        <v>55</v>
      </c>
      <c r="C56" t="s">
        <v>13</v>
      </c>
      <c r="D56" s="2">
        <v>3106</v>
      </c>
      <c r="E56" s="2">
        <v>22403</v>
      </c>
      <c r="F56" s="3">
        <v>64977</v>
      </c>
    </row>
    <row r="57" spans="1:6" x14ac:dyDescent="0.3">
      <c r="A57">
        <v>2020</v>
      </c>
      <c r="B57" t="s">
        <v>55</v>
      </c>
      <c r="C57" t="s">
        <v>14</v>
      </c>
      <c r="D57" s="2">
        <v>76308</v>
      </c>
      <c r="E57" s="2">
        <v>561991</v>
      </c>
      <c r="F57" s="3">
        <v>55910</v>
      </c>
    </row>
    <row r="58" spans="1:6" x14ac:dyDescent="0.3">
      <c r="A58">
        <v>2020</v>
      </c>
      <c r="B58" t="s">
        <v>55</v>
      </c>
      <c r="C58" t="s">
        <v>15</v>
      </c>
      <c r="D58" s="2">
        <v>22906</v>
      </c>
      <c r="E58" s="2">
        <v>200710</v>
      </c>
      <c r="F58" s="3">
        <v>66214</v>
      </c>
    </row>
    <row r="59" spans="1:6" x14ac:dyDescent="0.3">
      <c r="A59">
        <v>2020</v>
      </c>
      <c r="B59" t="s">
        <v>55</v>
      </c>
      <c r="C59" t="s">
        <v>16</v>
      </c>
      <c r="D59" s="2">
        <v>9159</v>
      </c>
      <c r="E59" s="2">
        <v>53385</v>
      </c>
      <c r="F59" s="3">
        <v>48649</v>
      </c>
    </row>
    <row r="60" spans="1:6" x14ac:dyDescent="0.3">
      <c r="A60">
        <v>2020</v>
      </c>
      <c r="B60" t="s">
        <v>55</v>
      </c>
      <c r="C60" t="s">
        <v>17</v>
      </c>
      <c r="D60" s="2">
        <v>32538</v>
      </c>
      <c r="E60" s="2">
        <v>216664</v>
      </c>
      <c r="F60" s="3">
        <v>76581</v>
      </c>
    </row>
    <row r="61" spans="1:6" x14ac:dyDescent="0.3">
      <c r="A61">
        <v>2020</v>
      </c>
      <c r="B61" t="s">
        <v>55</v>
      </c>
      <c r="C61" t="s">
        <v>18</v>
      </c>
      <c r="D61" s="2">
        <v>15617</v>
      </c>
      <c r="E61" s="2">
        <v>144001</v>
      </c>
      <c r="F61" s="3">
        <v>62619</v>
      </c>
    </row>
    <row r="62" spans="1:6" x14ac:dyDescent="0.3">
      <c r="A62">
        <v>2020</v>
      </c>
      <c r="B62" t="s">
        <v>55</v>
      </c>
      <c r="C62" t="s">
        <v>19</v>
      </c>
      <c r="D62" s="2">
        <v>9434</v>
      </c>
      <c r="E62" s="2">
        <v>76561</v>
      </c>
      <c r="F62" s="3">
        <v>61831</v>
      </c>
    </row>
    <row r="63" spans="1:6" x14ac:dyDescent="0.3">
      <c r="A63">
        <v>2020</v>
      </c>
      <c r="B63" t="s">
        <v>55</v>
      </c>
      <c r="C63" t="s">
        <v>20</v>
      </c>
      <c r="D63" s="2">
        <v>7355</v>
      </c>
      <c r="E63" s="2">
        <v>63118</v>
      </c>
      <c r="F63" s="3">
        <v>59126</v>
      </c>
    </row>
    <row r="64" spans="1:6" x14ac:dyDescent="0.3">
      <c r="A64">
        <v>2020</v>
      </c>
      <c r="B64" t="s">
        <v>55</v>
      </c>
      <c r="C64" t="s">
        <v>21</v>
      </c>
      <c r="D64" s="2">
        <v>9832</v>
      </c>
      <c r="E64" s="2">
        <v>77924</v>
      </c>
      <c r="F64" s="3">
        <v>58484</v>
      </c>
    </row>
    <row r="65" spans="1:6" x14ac:dyDescent="0.3">
      <c r="A65">
        <v>2020</v>
      </c>
      <c r="B65" t="s">
        <v>55</v>
      </c>
      <c r="C65" t="s">
        <v>22</v>
      </c>
      <c r="D65" s="2">
        <v>11349</v>
      </c>
      <c r="E65" s="2">
        <v>121521</v>
      </c>
      <c r="F65" s="3">
        <v>65354</v>
      </c>
    </row>
    <row r="66" spans="1:6" x14ac:dyDescent="0.3">
      <c r="A66">
        <v>2020</v>
      </c>
      <c r="B66" t="s">
        <v>55</v>
      </c>
      <c r="C66" t="s">
        <v>23</v>
      </c>
      <c r="D66" s="2">
        <v>5732</v>
      </c>
      <c r="E66" s="2">
        <v>30344</v>
      </c>
      <c r="F66" s="3">
        <v>55607</v>
      </c>
    </row>
    <row r="67" spans="1:6" x14ac:dyDescent="0.3">
      <c r="A67">
        <v>2020</v>
      </c>
      <c r="B67" t="s">
        <v>55</v>
      </c>
      <c r="C67" t="s">
        <v>24</v>
      </c>
      <c r="D67" s="2">
        <v>16346</v>
      </c>
      <c r="E67" s="2">
        <v>160039</v>
      </c>
      <c r="F67" s="3">
        <v>70642</v>
      </c>
    </row>
    <row r="68" spans="1:6" x14ac:dyDescent="0.3">
      <c r="A68">
        <v>2020</v>
      </c>
      <c r="B68" t="s">
        <v>55</v>
      </c>
      <c r="C68" t="s">
        <v>25</v>
      </c>
      <c r="D68" s="2">
        <v>21102</v>
      </c>
      <c r="E68" s="2">
        <v>152366</v>
      </c>
      <c r="F68" s="3">
        <v>84958</v>
      </c>
    </row>
    <row r="69" spans="1:6" x14ac:dyDescent="0.3">
      <c r="A69">
        <v>2020</v>
      </c>
      <c r="B69" t="s">
        <v>55</v>
      </c>
      <c r="C69" t="s">
        <v>26</v>
      </c>
      <c r="D69" s="2">
        <v>21646</v>
      </c>
      <c r="E69" s="2">
        <v>164028</v>
      </c>
      <c r="F69" s="3">
        <v>67631</v>
      </c>
    </row>
    <row r="70" spans="1:6" x14ac:dyDescent="0.3">
      <c r="A70">
        <v>2020</v>
      </c>
      <c r="B70" t="s">
        <v>55</v>
      </c>
      <c r="C70" t="s">
        <v>27</v>
      </c>
      <c r="D70" s="2">
        <v>16952</v>
      </c>
      <c r="E70" s="2">
        <v>123866</v>
      </c>
      <c r="F70" s="3">
        <v>72942</v>
      </c>
    </row>
    <row r="71" spans="1:6" x14ac:dyDescent="0.3">
      <c r="A71">
        <v>2020</v>
      </c>
      <c r="B71" t="s">
        <v>55</v>
      </c>
      <c r="C71" t="s">
        <v>28</v>
      </c>
      <c r="D71" s="2">
        <v>5839</v>
      </c>
      <c r="E71" s="2">
        <v>43888</v>
      </c>
      <c r="F71" s="3">
        <v>53779</v>
      </c>
    </row>
    <row r="72" spans="1:6" x14ac:dyDescent="0.3">
      <c r="A72">
        <v>2020</v>
      </c>
      <c r="B72" t="s">
        <v>55</v>
      </c>
      <c r="C72" t="s">
        <v>29</v>
      </c>
      <c r="D72" s="2">
        <v>15735</v>
      </c>
      <c r="E72" s="2">
        <v>126375</v>
      </c>
      <c r="F72" s="3">
        <v>64664</v>
      </c>
    </row>
    <row r="73" spans="1:6" x14ac:dyDescent="0.3">
      <c r="A73">
        <v>2020</v>
      </c>
      <c r="B73" t="s">
        <v>55</v>
      </c>
      <c r="C73" t="s">
        <v>30</v>
      </c>
      <c r="D73" s="2">
        <v>6813</v>
      </c>
      <c r="E73" s="2">
        <v>30793</v>
      </c>
      <c r="F73" s="3">
        <v>55897</v>
      </c>
    </row>
    <row r="74" spans="1:6" x14ac:dyDescent="0.3">
      <c r="A74">
        <v>2020</v>
      </c>
      <c r="B74" t="s">
        <v>55</v>
      </c>
      <c r="C74" t="s">
        <v>31</v>
      </c>
      <c r="D74" s="2">
        <v>7000</v>
      </c>
      <c r="E74" s="2">
        <v>55249</v>
      </c>
      <c r="F74" s="3">
        <v>56548</v>
      </c>
    </row>
    <row r="75" spans="1:6" x14ac:dyDescent="0.3">
      <c r="A75">
        <v>2020</v>
      </c>
      <c r="B75" t="s">
        <v>55</v>
      </c>
      <c r="C75" t="s">
        <v>32</v>
      </c>
      <c r="D75" s="2">
        <v>5757</v>
      </c>
      <c r="E75" s="2">
        <v>93450</v>
      </c>
      <c r="F75" s="3">
        <v>67902</v>
      </c>
    </row>
    <row r="76" spans="1:6" x14ac:dyDescent="0.3">
      <c r="A76">
        <v>2020</v>
      </c>
      <c r="B76" t="s">
        <v>55</v>
      </c>
      <c r="C76" t="s">
        <v>33</v>
      </c>
      <c r="D76" s="2">
        <v>4901</v>
      </c>
      <c r="E76" s="2">
        <v>27866</v>
      </c>
      <c r="F76" s="3">
        <v>68870</v>
      </c>
    </row>
    <row r="77" spans="1:6" x14ac:dyDescent="0.3">
      <c r="A77">
        <v>2020</v>
      </c>
      <c r="B77" t="s">
        <v>55</v>
      </c>
      <c r="C77" t="s">
        <v>34</v>
      </c>
      <c r="D77" s="2">
        <v>22711</v>
      </c>
      <c r="E77" s="2">
        <v>151469</v>
      </c>
      <c r="F77" s="3">
        <v>77924</v>
      </c>
    </row>
    <row r="78" spans="1:6" x14ac:dyDescent="0.3">
      <c r="A78">
        <v>2020</v>
      </c>
      <c r="B78" t="s">
        <v>55</v>
      </c>
      <c r="C78" t="s">
        <v>35</v>
      </c>
      <c r="D78" s="2">
        <v>5485</v>
      </c>
      <c r="E78" s="2">
        <v>48577</v>
      </c>
      <c r="F78" s="3">
        <v>53439</v>
      </c>
    </row>
    <row r="79" spans="1:6" x14ac:dyDescent="0.3">
      <c r="A79">
        <v>2020</v>
      </c>
      <c r="B79" t="s">
        <v>55</v>
      </c>
      <c r="C79" t="s">
        <v>36</v>
      </c>
      <c r="D79" s="2">
        <v>50929</v>
      </c>
      <c r="E79" s="2">
        <v>361821</v>
      </c>
      <c r="F79" s="3">
        <v>78199</v>
      </c>
    </row>
    <row r="80" spans="1:6" x14ac:dyDescent="0.3">
      <c r="A80">
        <v>2020</v>
      </c>
      <c r="B80" t="s">
        <v>55</v>
      </c>
      <c r="C80" t="s">
        <v>37</v>
      </c>
      <c r="D80" s="2">
        <v>29231</v>
      </c>
      <c r="E80" s="2">
        <v>229369</v>
      </c>
      <c r="F80" s="3">
        <v>59177</v>
      </c>
    </row>
    <row r="81" spans="1:6" x14ac:dyDescent="0.3">
      <c r="A81">
        <v>2020</v>
      </c>
      <c r="B81" t="s">
        <v>55</v>
      </c>
      <c r="C81" t="s">
        <v>38</v>
      </c>
      <c r="D81" s="2">
        <v>3669</v>
      </c>
      <c r="E81" s="2">
        <v>25364</v>
      </c>
      <c r="F81" s="3">
        <v>66729</v>
      </c>
    </row>
    <row r="82" spans="1:6" x14ac:dyDescent="0.3">
      <c r="A82">
        <v>2020</v>
      </c>
      <c r="B82" t="s">
        <v>55</v>
      </c>
      <c r="C82" t="s">
        <v>39</v>
      </c>
      <c r="D82" s="2">
        <v>23650</v>
      </c>
      <c r="E82" s="2">
        <v>218531</v>
      </c>
      <c r="F82" s="3">
        <v>65104</v>
      </c>
    </row>
    <row r="83" spans="1:6" x14ac:dyDescent="0.3">
      <c r="A83">
        <v>2020</v>
      </c>
      <c r="B83" t="s">
        <v>55</v>
      </c>
      <c r="C83" t="s">
        <v>40</v>
      </c>
      <c r="D83" s="2">
        <v>9855</v>
      </c>
      <c r="E83" s="2">
        <v>78772</v>
      </c>
      <c r="F83" s="3">
        <v>55099</v>
      </c>
    </row>
    <row r="84" spans="1:6" x14ac:dyDescent="0.3">
      <c r="A84">
        <v>2020</v>
      </c>
      <c r="B84" t="s">
        <v>55</v>
      </c>
      <c r="C84" t="s">
        <v>41</v>
      </c>
      <c r="D84" s="2">
        <v>14899</v>
      </c>
      <c r="E84" s="2">
        <v>107568</v>
      </c>
      <c r="F84" s="3">
        <v>66876</v>
      </c>
    </row>
    <row r="85" spans="1:6" x14ac:dyDescent="0.3">
      <c r="A85">
        <v>2020</v>
      </c>
      <c r="B85" t="s">
        <v>55</v>
      </c>
      <c r="C85" t="s">
        <v>42</v>
      </c>
      <c r="D85" s="2">
        <v>29345</v>
      </c>
      <c r="E85" s="2">
        <v>241570</v>
      </c>
      <c r="F85" s="3">
        <v>70639</v>
      </c>
    </row>
    <row r="86" spans="1:6" x14ac:dyDescent="0.3">
      <c r="A86">
        <v>2020</v>
      </c>
      <c r="B86" t="s">
        <v>55</v>
      </c>
      <c r="C86" t="s">
        <v>43</v>
      </c>
      <c r="D86" s="2">
        <v>3878</v>
      </c>
      <c r="E86" s="2">
        <v>18924</v>
      </c>
      <c r="F86" s="3">
        <v>66955</v>
      </c>
    </row>
    <row r="87" spans="1:6" x14ac:dyDescent="0.3">
      <c r="A87">
        <v>2020</v>
      </c>
      <c r="B87" t="s">
        <v>55</v>
      </c>
      <c r="C87" t="s">
        <v>44</v>
      </c>
      <c r="D87" s="2">
        <v>13348</v>
      </c>
      <c r="E87" s="2">
        <v>103647</v>
      </c>
      <c r="F87" s="3">
        <v>57906</v>
      </c>
    </row>
    <row r="88" spans="1:6" x14ac:dyDescent="0.3">
      <c r="A88">
        <v>2020</v>
      </c>
      <c r="B88" t="s">
        <v>55</v>
      </c>
      <c r="C88" t="s">
        <v>45</v>
      </c>
      <c r="D88" s="2">
        <v>3954</v>
      </c>
      <c r="E88" s="2">
        <v>24410</v>
      </c>
      <c r="F88" s="3">
        <v>54005</v>
      </c>
    </row>
    <row r="89" spans="1:6" x14ac:dyDescent="0.3">
      <c r="A89">
        <v>2020</v>
      </c>
      <c r="B89" t="s">
        <v>55</v>
      </c>
      <c r="C89" t="s">
        <v>46</v>
      </c>
      <c r="D89" s="2">
        <v>12894</v>
      </c>
      <c r="E89" s="2">
        <v>130050</v>
      </c>
      <c r="F89" s="3">
        <v>62259</v>
      </c>
    </row>
    <row r="90" spans="1:6" x14ac:dyDescent="0.3">
      <c r="A90">
        <v>2020</v>
      </c>
      <c r="B90" t="s">
        <v>55</v>
      </c>
      <c r="C90" t="s">
        <v>47</v>
      </c>
      <c r="D90" s="2">
        <v>55014</v>
      </c>
      <c r="E90" s="2">
        <v>737125</v>
      </c>
      <c r="F90" s="3">
        <v>68929</v>
      </c>
    </row>
    <row r="91" spans="1:6" x14ac:dyDescent="0.3">
      <c r="A91">
        <v>2020</v>
      </c>
      <c r="B91" t="s">
        <v>55</v>
      </c>
      <c r="C91" t="s">
        <v>48</v>
      </c>
      <c r="D91" s="2">
        <v>12932</v>
      </c>
      <c r="E91" s="2">
        <v>115416</v>
      </c>
      <c r="F91" s="3">
        <v>57474</v>
      </c>
    </row>
    <row r="92" spans="1:6" x14ac:dyDescent="0.3">
      <c r="A92">
        <v>2020</v>
      </c>
      <c r="B92" t="s">
        <v>55</v>
      </c>
      <c r="C92" t="s">
        <v>49</v>
      </c>
      <c r="D92" s="2">
        <v>2839</v>
      </c>
      <c r="E92" s="2">
        <v>14269</v>
      </c>
      <c r="F92" s="3">
        <v>55130</v>
      </c>
    </row>
    <row r="93" spans="1:6" x14ac:dyDescent="0.3">
      <c r="A93">
        <v>2020</v>
      </c>
      <c r="B93" t="s">
        <v>55</v>
      </c>
      <c r="C93" t="s">
        <v>50</v>
      </c>
      <c r="D93" s="2">
        <v>21412</v>
      </c>
      <c r="E93" s="2">
        <v>201137</v>
      </c>
      <c r="F93" s="3">
        <v>63521</v>
      </c>
    </row>
    <row r="94" spans="1:6" x14ac:dyDescent="0.3">
      <c r="A94">
        <v>2020</v>
      </c>
      <c r="B94" t="s">
        <v>55</v>
      </c>
      <c r="C94" t="s">
        <v>51</v>
      </c>
      <c r="D94" s="2">
        <v>27072</v>
      </c>
      <c r="E94" s="2">
        <v>199964</v>
      </c>
      <c r="F94" s="3">
        <v>69827</v>
      </c>
    </row>
    <row r="95" spans="1:6" x14ac:dyDescent="0.3">
      <c r="A95">
        <v>2020</v>
      </c>
      <c r="B95" t="s">
        <v>55</v>
      </c>
      <c r="C95" t="s">
        <v>52</v>
      </c>
      <c r="D95" s="2">
        <v>4300</v>
      </c>
      <c r="E95" s="2">
        <v>29583</v>
      </c>
      <c r="F95" s="3">
        <v>60489</v>
      </c>
    </row>
    <row r="96" spans="1:6" x14ac:dyDescent="0.3">
      <c r="A96">
        <v>2020</v>
      </c>
      <c r="B96" t="s">
        <v>55</v>
      </c>
      <c r="C96" t="s">
        <v>53</v>
      </c>
      <c r="D96" s="2">
        <v>14760</v>
      </c>
      <c r="E96" s="2">
        <v>123846</v>
      </c>
      <c r="F96" s="3">
        <v>66423</v>
      </c>
    </row>
    <row r="97" spans="1:6" x14ac:dyDescent="0.3">
      <c r="A97">
        <v>2020</v>
      </c>
      <c r="B97" t="s">
        <v>55</v>
      </c>
      <c r="C97" t="s">
        <v>54</v>
      </c>
      <c r="D97" s="2">
        <v>3478</v>
      </c>
      <c r="E97" s="2">
        <v>21200</v>
      </c>
      <c r="F97" s="3">
        <v>56640</v>
      </c>
    </row>
    <row r="98" spans="1:6" x14ac:dyDescent="0.3">
      <c r="A98">
        <v>2020</v>
      </c>
      <c r="B98" t="s">
        <v>56</v>
      </c>
      <c r="C98" t="s">
        <v>7</v>
      </c>
      <c r="D98" s="2">
        <v>5773</v>
      </c>
      <c r="E98" s="2">
        <v>258328</v>
      </c>
      <c r="F98" s="3">
        <v>60387</v>
      </c>
    </row>
    <row r="99" spans="1:6" x14ac:dyDescent="0.3">
      <c r="A99">
        <v>2020</v>
      </c>
      <c r="B99" t="s">
        <v>56</v>
      </c>
      <c r="C99" t="s">
        <v>8</v>
      </c>
      <c r="D99" s="2">
        <v>5213</v>
      </c>
      <c r="E99" s="2">
        <v>177110</v>
      </c>
      <c r="F99" s="3">
        <v>82375</v>
      </c>
    </row>
    <row r="100" spans="1:6" x14ac:dyDescent="0.3">
      <c r="A100">
        <v>2020</v>
      </c>
      <c r="B100" t="s">
        <v>56</v>
      </c>
      <c r="C100" t="s">
        <v>9</v>
      </c>
      <c r="D100" s="2">
        <v>2961</v>
      </c>
      <c r="E100" s="2">
        <v>154922</v>
      </c>
      <c r="F100" s="3">
        <v>51570</v>
      </c>
    </row>
    <row r="101" spans="1:6" x14ac:dyDescent="0.3">
      <c r="A101">
        <v>2020</v>
      </c>
      <c r="B101" t="s">
        <v>56</v>
      </c>
      <c r="C101" t="s">
        <v>10</v>
      </c>
      <c r="D101" s="2">
        <v>44156</v>
      </c>
      <c r="E101" s="2">
        <v>1263780</v>
      </c>
      <c r="F101" s="3">
        <v>109888</v>
      </c>
    </row>
    <row r="102" spans="1:6" x14ac:dyDescent="0.3">
      <c r="A102">
        <v>2020</v>
      </c>
      <c r="B102" t="s">
        <v>56</v>
      </c>
      <c r="C102" t="s">
        <v>11</v>
      </c>
      <c r="D102" s="2">
        <v>5888</v>
      </c>
      <c r="E102" s="2">
        <v>146473</v>
      </c>
      <c r="F102" s="3">
        <v>77207</v>
      </c>
    </row>
    <row r="103" spans="1:6" x14ac:dyDescent="0.3">
      <c r="A103">
        <v>2020</v>
      </c>
      <c r="B103" t="s">
        <v>56</v>
      </c>
      <c r="C103" t="s">
        <v>12</v>
      </c>
      <c r="D103" s="2">
        <v>4386</v>
      </c>
      <c r="E103" s="2">
        <v>153812</v>
      </c>
      <c r="F103" s="3">
        <v>87706</v>
      </c>
    </row>
    <row r="104" spans="1:6" x14ac:dyDescent="0.3">
      <c r="A104">
        <v>2020</v>
      </c>
      <c r="B104" t="s">
        <v>56</v>
      </c>
      <c r="C104" t="s">
        <v>13</v>
      </c>
      <c r="D104">
        <v>678</v>
      </c>
      <c r="E104" s="2">
        <v>25520</v>
      </c>
      <c r="F104" s="3">
        <v>68049</v>
      </c>
    </row>
    <row r="105" spans="1:6" x14ac:dyDescent="0.3">
      <c r="A105">
        <v>2020</v>
      </c>
      <c r="B105" t="s">
        <v>56</v>
      </c>
      <c r="C105" t="s">
        <v>14</v>
      </c>
      <c r="D105" s="2">
        <v>21275</v>
      </c>
      <c r="E105" s="2">
        <v>376070</v>
      </c>
      <c r="F105" s="3">
        <v>66758</v>
      </c>
    </row>
    <row r="106" spans="1:6" x14ac:dyDescent="0.3">
      <c r="A106">
        <v>2020</v>
      </c>
      <c r="B106" t="s">
        <v>56</v>
      </c>
      <c r="C106" t="s">
        <v>15</v>
      </c>
      <c r="D106" s="2">
        <v>10646</v>
      </c>
      <c r="E106" s="2">
        <v>382938</v>
      </c>
      <c r="F106" s="3">
        <v>60184</v>
      </c>
    </row>
    <row r="107" spans="1:6" x14ac:dyDescent="0.3">
      <c r="A107">
        <v>2020</v>
      </c>
      <c r="B107" t="s">
        <v>56</v>
      </c>
      <c r="C107" t="s">
        <v>16</v>
      </c>
      <c r="D107" s="2">
        <v>2886</v>
      </c>
      <c r="E107" s="2">
        <v>67700</v>
      </c>
      <c r="F107" s="3">
        <v>65603</v>
      </c>
    </row>
    <row r="108" spans="1:6" x14ac:dyDescent="0.3">
      <c r="A108">
        <v>2020</v>
      </c>
      <c r="B108" t="s">
        <v>56</v>
      </c>
      <c r="C108" t="s">
        <v>17</v>
      </c>
      <c r="D108" s="2">
        <v>18033</v>
      </c>
      <c r="E108" s="2">
        <v>554712</v>
      </c>
      <c r="F108" s="3">
        <v>74855</v>
      </c>
    </row>
    <row r="109" spans="1:6" x14ac:dyDescent="0.3">
      <c r="A109">
        <v>2020</v>
      </c>
      <c r="B109" t="s">
        <v>56</v>
      </c>
      <c r="C109" t="s">
        <v>18</v>
      </c>
      <c r="D109" s="2">
        <v>9255</v>
      </c>
      <c r="E109" s="2">
        <v>504460</v>
      </c>
      <c r="F109" s="3">
        <v>65092</v>
      </c>
    </row>
    <row r="110" spans="1:6" x14ac:dyDescent="0.3">
      <c r="A110">
        <v>2020</v>
      </c>
      <c r="B110" t="s">
        <v>56</v>
      </c>
      <c r="C110" t="s">
        <v>19</v>
      </c>
      <c r="D110" s="2">
        <v>4099</v>
      </c>
      <c r="E110" s="2">
        <v>216615</v>
      </c>
      <c r="F110" s="3">
        <v>63103</v>
      </c>
    </row>
    <row r="111" spans="1:6" x14ac:dyDescent="0.3">
      <c r="A111">
        <v>2020</v>
      </c>
      <c r="B111" t="s">
        <v>56</v>
      </c>
      <c r="C111" t="s">
        <v>20</v>
      </c>
      <c r="D111" s="2">
        <v>3109</v>
      </c>
      <c r="E111" s="2">
        <v>158784</v>
      </c>
      <c r="F111" s="3">
        <v>62958</v>
      </c>
    </row>
    <row r="112" spans="1:6" x14ac:dyDescent="0.3">
      <c r="A112">
        <v>2020</v>
      </c>
      <c r="B112" t="s">
        <v>56</v>
      </c>
      <c r="C112" t="s">
        <v>21</v>
      </c>
      <c r="D112" s="2">
        <v>4978</v>
      </c>
      <c r="E112" s="2">
        <v>235564</v>
      </c>
      <c r="F112" s="3">
        <v>62902</v>
      </c>
    </row>
    <row r="113" spans="1:6" x14ac:dyDescent="0.3">
      <c r="A113">
        <v>2020</v>
      </c>
      <c r="B113" t="s">
        <v>56</v>
      </c>
      <c r="C113" t="s">
        <v>22</v>
      </c>
      <c r="D113" s="2">
        <v>4501</v>
      </c>
      <c r="E113" s="2">
        <v>131430</v>
      </c>
      <c r="F113" s="3">
        <v>78183</v>
      </c>
    </row>
    <row r="114" spans="1:6" x14ac:dyDescent="0.3">
      <c r="A114">
        <v>2020</v>
      </c>
      <c r="B114" t="s">
        <v>56</v>
      </c>
      <c r="C114" t="s">
        <v>23</v>
      </c>
      <c r="D114" s="2">
        <v>1863</v>
      </c>
      <c r="E114" s="2">
        <v>50166</v>
      </c>
      <c r="F114" s="3">
        <v>61682</v>
      </c>
    </row>
    <row r="115" spans="1:6" x14ac:dyDescent="0.3">
      <c r="A115">
        <v>2020</v>
      </c>
      <c r="B115" t="s">
        <v>56</v>
      </c>
      <c r="C115" t="s">
        <v>24</v>
      </c>
      <c r="D115" s="2">
        <v>4168</v>
      </c>
      <c r="E115" s="2">
        <v>108500</v>
      </c>
      <c r="F115" s="3">
        <v>85426</v>
      </c>
    </row>
    <row r="116" spans="1:6" x14ac:dyDescent="0.3">
      <c r="A116">
        <v>2020</v>
      </c>
      <c r="B116" t="s">
        <v>56</v>
      </c>
      <c r="C116" t="s">
        <v>25</v>
      </c>
      <c r="D116" s="2">
        <v>6616</v>
      </c>
      <c r="E116" s="2">
        <v>229741</v>
      </c>
      <c r="F116" s="3">
        <v>96190</v>
      </c>
    </row>
    <row r="117" spans="1:6" x14ac:dyDescent="0.3">
      <c r="A117">
        <v>2020</v>
      </c>
      <c r="B117" t="s">
        <v>56</v>
      </c>
      <c r="C117" t="s">
        <v>26</v>
      </c>
      <c r="D117" s="2">
        <v>17437</v>
      </c>
      <c r="E117" s="2">
        <v>554767</v>
      </c>
      <c r="F117" s="3">
        <v>70769</v>
      </c>
    </row>
    <row r="118" spans="1:6" x14ac:dyDescent="0.3">
      <c r="A118">
        <v>2020</v>
      </c>
      <c r="B118" t="s">
        <v>56</v>
      </c>
      <c r="C118" t="s">
        <v>27</v>
      </c>
      <c r="D118" s="2">
        <v>8284</v>
      </c>
      <c r="E118" s="2">
        <v>309006</v>
      </c>
      <c r="F118" s="3">
        <v>70870</v>
      </c>
    </row>
    <row r="119" spans="1:6" x14ac:dyDescent="0.3">
      <c r="A119">
        <v>2020</v>
      </c>
      <c r="B119" t="s">
        <v>56</v>
      </c>
      <c r="C119" t="s">
        <v>28</v>
      </c>
      <c r="D119" s="2">
        <v>2375</v>
      </c>
      <c r="E119" s="2">
        <v>139480</v>
      </c>
      <c r="F119" s="3">
        <v>51918</v>
      </c>
    </row>
    <row r="120" spans="1:6" x14ac:dyDescent="0.3">
      <c r="A120">
        <v>2020</v>
      </c>
      <c r="B120" t="s">
        <v>56</v>
      </c>
      <c r="C120" t="s">
        <v>29</v>
      </c>
      <c r="D120" s="2">
        <v>6859</v>
      </c>
      <c r="E120" s="2">
        <v>266452</v>
      </c>
      <c r="F120" s="3">
        <v>61836</v>
      </c>
    </row>
    <row r="121" spans="1:6" x14ac:dyDescent="0.3">
      <c r="A121">
        <v>2020</v>
      </c>
      <c r="B121" t="s">
        <v>56</v>
      </c>
      <c r="C121" t="s">
        <v>30</v>
      </c>
      <c r="D121" s="2">
        <v>1672</v>
      </c>
      <c r="E121" s="2">
        <v>20421</v>
      </c>
      <c r="F121" s="3">
        <v>54178</v>
      </c>
    </row>
    <row r="122" spans="1:6" x14ac:dyDescent="0.3">
      <c r="A122">
        <v>2020</v>
      </c>
      <c r="B122" t="s">
        <v>56</v>
      </c>
      <c r="C122" t="s">
        <v>31</v>
      </c>
      <c r="D122" s="2">
        <v>1949</v>
      </c>
      <c r="E122" s="2">
        <v>97530</v>
      </c>
      <c r="F122" s="3">
        <v>56492</v>
      </c>
    </row>
    <row r="123" spans="1:6" x14ac:dyDescent="0.3">
      <c r="A123">
        <v>2020</v>
      </c>
      <c r="B123" t="s">
        <v>56</v>
      </c>
      <c r="C123" t="s">
        <v>32</v>
      </c>
      <c r="D123" s="2">
        <v>2054</v>
      </c>
      <c r="E123" s="2">
        <v>55673</v>
      </c>
      <c r="F123" s="3">
        <v>66821</v>
      </c>
    </row>
    <row r="124" spans="1:6" x14ac:dyDescent="0.3">
      <c r="A124">
        <v>2020</v>
      </c>
      <c r="B124" t="s">
        <v>56</v>
      </c>
      <c r="C124" t="s">
        <v>33</v>
      </c>
      <c r="D124" s="2">
        <v>2001</v>
      </c>
      <c r="E124" s="2">
        <v>67282</v>
      </c>
      <c r="F124" s="3">
        <v>77769</v>
      </c>
    </row>
    <row r="125" spans="1:6" x14ac:dyDescent="0.3">
      <c r="A125">
        <v>2020</v>
      </c>
      <c r="B125" t="s">
        <v>56</v>
      </c>
      <c r="C125" t="s">
        <v>34</v>
      </c>
      <c r="D125" s="2">
        <v>8964</v>
      </c>
      <c r="E125" s="2">
        <v>235850</v>
      </c>
      <c r="F125" s="3">
        <v>86277</v>
      </c>
    </row>
    <row r="126" spans="1:6" x14ac:dyDescent="0.3">
      <c r="A126">
        <v>2020</v>
      </c>
      <c r="B126" t="s">
        <v>56</v>
      </c>
      <c r="C126" t="s">
        <v>35</v>
      </c>
      <c r="D126" s="2">
        <v>1776</v>
      </c>
      <c r="E126" s="2">
        <v>27201</v>
      </c>
      <c r="F126" s="3">
        <v>58794</v>
      </c>
    </row>
    <row r="127" spans="1:6" x14ac:dyDescent="0.3">
      <c r="A127">
        <v>2020</v>
      </c>
      <c r="B127" t="s">
        <v>56</v>
      </c>
      <c r="C127" t="s">
        <v>36</v>
      </c>
      <c r="D127" s="2">
        <v>16292</v>
      </c>
      <c r="E127" s="2">
        <v>399337</v>
      </c>
      <c r="F127" s="3">
        <v>73103</v>
      </c>
    </row>
    <row r="128" spans="1:6" x14ac:dyDescent="0.3">
      <c r="A128">
        <v>2020</v>
      </c>
      <c r="B128" t="s">
        <v>56</v>
      </c>
      <c r="C128" t="s">
        <v>37</v>
      </c>
      <c r="D128" s="2">
        <v>10303</v>
      </c>
      <c r="E128" s="2">
        <v>452637</v>
      </c>
      <c r="F128" s="3">
        <v>63281</v>
      </c>
    </row>
    <row r="129" spans="1:6" x14ac:dyDescent="0.3">
      <c r="A129">
        <v>2020</v>
      </c>
      <c r="B129" t="s">
        <v>56</v>
      </c>
      <c r="C129" t="s">
        <v>38</v>
      </c>
      <c r="D129">
        <v>799</v>
      </c>
      <c r="E129" s="2">
        <v>25259</v>
      </c>
      <c r="F129" s="3">
        <v>57695</v>
      </c>
    </row>
    <row r="130" spans="1:6" x14ac:dyDescent="0.3">
      <c r="A130">
        <v>2020</v>
      </c>
      <c r="B130" t="s">
        <v>56</v>
      </c>
      <c r="C130" t="s">
        <v>39</v>
      </c>
      <c r="D130" s="2">
        <v>15453</v>
      </c>
      <c r="E130" s="2">
        <v>653028</v>
      </c>
      <c r="F130" s="3">
        <v>64995</v>
      </c>
    </row>
    <row r="131" spans="1:6" x14ac:dyDescent="0.3">
      <c r="A131">
        <v>2020</v>
      </c>
      <c r="B131" t="s">
        <v>56</v>
      </c>
      <c r="C131" t="s">
        <v>40</v>
      </c>
      <c r="D131" s="2">
        <v>4178</v>
      </c>
      <c r="E131" s="2">
        <v>131206</v>
      </c>
      <c r="F131" s="3">
        <v>60915</v>
      </c>
    </row>
    <row r="132" spans="1:6" x14ac:dyDescent="0.3">
      <c r="A132">
        <v>2020</v>
      </c>
      <c r="B132" t="s">
        <v>56</v>
      </c>
      <c r="C132" t="s">
        <v>41</v>
      </c>
      <c r="D132" s="2">
        <v>6354</v>
      </c>
      <c r="E132" s="2">
        <v>184947</v>
      </c>
      <c r="F132" s="3">
        <v>74927</v>
      </c>
    </row>
    <row r="133" spans="1:6" x14ac:dyDescent="0.3">
      <c r="A133">
        <v>2020</v>
      </c>
      <c r="B133" t="s">
        <v>56</v>
      </c>
      <c r="C133" t="s">
        <v>42</v>
      </c>
      <c r="D133" s="2">
        <v>14363</v>
      </c>
      <c r="E133" s="2">
        <v>537402</v>
      </c>
      <c r="F133" s="3">
        <v>66931</v>
      </c>
    </row>
    <row r="134" spans="1:6" x14ac:dyDescent="0.3">
      <c r="A134">
        <v>2020</v>
      </c>
      <c r="B134" t="s">
        <v>56</v>
      </c>
      <c r="C134" t="s">
        <v>43</v>
      </c>
      <c r="D134" s="2">
        <v>1516</v>
      </c>
      <c r="E134" s="2">
        <v>37411</v>
      </c>
      <c r="F134" s="3">
        <v>63645</v>
      </c>
    </row>
    <row r="135" spans="1:6" x14ac:dyDescent="0.3">
      <c r="A135">
        <v>2020</v>
      </c>
      <c r="B135" t="s">
        <v>56</v>
      </c>
      <c r="C135" t="s">
        <v>44</v>
      </c>
      <c r="D135" s="2">
        <v>6655</v>
      </c>
      <c r="E135" s="2">
        <v>244395</v>
      </c>
      <c r="F135" s="3">
        <v>61779</v>
      </c>
    </row>
    <row r="136" spans="1:6" x14ac:dyDescent="0.3">
      <c r="A136">
        <v>2020</v>
      </c>
      <c r="B136" t="s">
        <v>56</v>
      </c>
      <c r="C136" t="s">
        <v>45</v>
      </c>
      <c r="D136" s="2">
        <v>1072</v>
      </c>
      <c r="E136" s="2">
        <v>43135</v>
      </c>
      <c r="F136" s="3">
        <v>53285</v>
      </c>
    </row>
    <row r="137" spans="1:6" x14ac:dyDescent="0.3">
      <c r="A137">
        <v>2020</v>
      </c>
      <c r="B137" t="s">
        <v>56</v>
      </c>
      <c r="C137" t="s">
        <v>46</v>
      </c>
      <c r="D137" s="2">
        <v>7620</v>
      </c>
      <c r="E137" s="2">
        <v>334972</v>
      </c>
      <c r="F137" s="3">
        <v>63122</v>
      </c>
    </row>
    <row r="138" spans="1:6" x14ac:dyDescent="0.3">
      <c r="A138">
        <v>2020</v>
      </c>
      <c r="B138" t="s">
        <v>56</v>
      </c>
      <c r="C138" t="s">
        <v>47</v>
      </c>
      <c r="D138" s="2">
        <v>26257</v>
      </c>
      <c r="E138" s="2">
        <v>867807</v>
      </c>
      <c r="F138" s="3">
        <v>81206</v>
      </c>
    </row>
    <row r="139" spans="1:6" x14ac:dyDescent="0.3">
      <c r="A139">
        <v>2020</v>
      </c>
      <c r="B139" t="s">
        <v>56</v>
      </c>
      <c r="C139" t="s">
        <v>48</v>
      </c>
      <c r="D139" s="2">
        <v>4616</v>
      </c>
      <c r="E139" s="2">
        <v>135571</v>
      </c>
      <c r="F139" s="3">
        <v>61796</v>
      </c>
    </row>
    <row r="140" spans="1:6" x14ac:dyDescent="0.3">
      <c r="A140">
        <v>2020</v>
      </c>
      <c r="B140" t="s">
        <v>56</v>
      </c>
      <c r="C140" t="s">
        <v>49</v>
      </c>
      <c r="D140" s="2">
        <v>1107</v>
      </c>
      <c r="E140" s="2">
        <v>28176</v>
      </c>
      <c r="F140" s="3">
        <v>62352</v>
      </c>
    </row>
    <row r="141" spans="1:6" x14ac:dyDescent="0.3">
      <c r="A141">
        <v>2020</v>
      </c>
      <c r="B141" t="s">
        <v>56</v>
      </c>
      <c r="C141" t="s">
        <v>50</v>
      </c>
      <c r="D141" s="2">
        <v>7023</v>
      </c>
      <c r="E141" s="2">
        <v>232300</v>
      </c>
      <c r="F141" s="3">
        <v>63958</v>
      </c>
    </row>
    <row r="142" spans="1:6" x14ac:dyDescent="0.3">
      <c r="A142">
        <v>2020</v>
      </c>
      <c r="B142" t="s">
        <v>56</v>
      </c>
      <c r="C142" t="s">
        <v>51</v>
      </c>
      <c r="D142" s="2">
        <v>7882</v>
      </c>
      <c r="E142" s="2">
        <v>268553</v>
      </c>
      <c r="F142" s="3">
        <v>82000</v>
      </c>
    </row>
    <row r="143" spans="1:6" x14ac:dyDescent="0.3">
      <c r="A143">
        <v>2020</v>
      </c>
      <c r="B143" t="s">
        <v>56</v>
      </c>
      <c r="C143" t="s">
        <v>52</v>
      </c>
      <c r="D143" s="2">
        <v>1261</v>
      </c>
      <c r="E143" s="2">
        <v>44429</v>
      </c>
      <c r="F143" s="3">
        <v>62359</v>
      </c>
    </row>
    <row r="144" spans="1:6" x14ac:dyDescent="0.3">
      <c r="A144">
        <v>2020</v>
      </c>
      <c r="B144" t="s">
        <v>56</v>
      </c>
      <c r="C144" t="s">
        <v>53</v>
      </c>
      <c r="D144" s="2">
        <v>9214</v>
      </c>
      <c r="E144" s="2">
        <v>458262</v>
      </c>
      <c r="F144" s="3">
        <v>61039</v>
      </c>
    </row>
    <row r="145" spans="1:6" x14ac:dyDescent="0.3">
      <c r="A145">
        <v>2020</v>
      </c>
      <c r="B145" t="s">
        <v>56</v>
      </c>
      <c r="C145" t="s">
        <v>54</v>
      </c>
      <c r="D145">
        <v>620</v>
      </c>
      <c r="E145" s="2">
        <v>9580</v>
      </c>
      <c r="F145" s="3">
        <v>70308</v>
      </c>
    </row>
    <row r="146" spans="1:6" x14ac:dyDescent="0.3">
      <c r="A146">
        <v>2020</v>
      </c>
      <c r="B146" t="s">
        <v>57</v>
      </c>
      <c r="C146" t="s">
        <v>7</v>
      </c>
      <c r="D146" s="2">
        <v>32424</v>
      </c>
      <c r="E146" s="2">
        <v>372620</v>
      </c>
      <c r="F146" s="3">
        <v>45853</v>
      </c>
    </row>
    <row r="147" spans="1:6" x14ac:dyDescent="0.3">
      <c r="A147">
        <v>2020</v>
      </c>
      <c r="B147" t="s">
        <v>57</v>
      </c>
      <c r="C147" t="s">
        <v>8</v>
      </c>
      <c r="D147" s="2">
        <v>33859</v>
      </c>
      <c r="E147" s="2">
        <v>546143</v>
      </c>
      <c r="F147" s="3">
        <v>51498</v>
      </c>
    </row>
    <row r="148" spans="1:6" x14ac:dyDescent="0.3">
      <c r="A148">
        <v>2020</v>
      </c>
      <c r="B148" t="s">
        <v>57</v>
      </c>
      <c r="C148" t="s">
        <v>9</v>
      </c>
      <c r="D148" s="2">
        <v>21836</v>
      </c>
      <c r="E148" s="2">
        <v>244074</v>
      </c>
      <c r="F148" s="3">
        <v>45673</v>
      </c>
    </row>
    <row r="149" spans="1:6" x14ac:dyDescent="0.3">
      <c r="A149">
        <v>2020</v>
      </c>
      <c r="B149" t="s">
        <v>57</v>
      </c>
      <c r="C149" t="s">
        <v>10</v>
      </c>
      <c r="D149" s="2">
        <v>200632</v>
      </c>
      <c r="E149" s="2">
        <v>2888684</v>
      </c>
      <c r="F149" s="3">
        <v>58800</v>
      </c>
    </row>
    <row r="150" spans="1:6" x14ac:dyDescent="0.3">
      <c r="A150">
        <v>2020</v>
      </c>
      <c r="B150" t="s">
        <v>57</v>
      </c>
      <c r="C150" t="s">
        <v>11</v>
      </c>
      <c r="D150" s="2">
        <v>36421</v>
      </c>
      <c r="E150" s="2">
        <v>465887</v>
      </c>
      <c r="F150" s="3">
        <v>55719</v>
      </c>
    </row>
    <row r="151" spans="1:6" x14ac:dyDescent="0.3">
      <c r="A151">
        <v>2020</v>
      </c>
      <c r="B151" t="s">
        <v>57</v>
      </c>
      <c r="C151" t="s">
        <v>12</v>
      </c>
      <c r="D151" s="2">
        <v>24725</v>
      </c>
      <c r="E151" s="2">
        <v>276491</v>
      </c>
      <c r="F151" s="3">
        <v>55859</v>
      </c>
    </row>
    <row r="152" spans="1:6" x14ac:dyDescent="0.3">
      <c r="A152">
        <v>2020</v>
      </c>
      <c r="B152" t="s">
        <v>57</v>
      </c>
      <c r="C152" t="s">
        <v>13</v>
      </c>
      <c r="D152" s="2">
        <v>7050</v>
      </c>
      <c r="E152" s="2">
        <v>76267</v>
      </c>
      <c r="F152" s="3">
        <v>45667</v>
      </c>
    </row>
    <row r="153" spans="1:6" x14ac:dyDescent="0.3">
      <c r="A153">
        <v>2020</v>
      </c>
      <c r="B153" t="s">
        <v>57</v>
      </c>
      <c r="C153" t="s">
        <v>14</v>
      </c>
      <c r="D153" s="2">
        <v>142700</v>
      </c>
      <c r="E153" s="2">
        <v>1739110</v>
      </c>
      <c r="F153" s="3">
        <v>49391</v>
      </c>
    </row>
    <row r="154" spans="1:6" x14ac:dyDescent="0.3">
      <c r="A154">
        <v>2020</v>
      </c>
      <c r="B154" t="s">
        <v>57</v>
      </c>
      <c r="C154" t="s">
        <v>15</v>
      </c>
      <c r="D154" s="2">
        <v>64380</v>
      </c>
      <c r="E154" s="2">
        <v>913981</v>
      </c>
      <c r="F154" s="3">
        <v>52104</v>
      </c>
    </row>
    <row r="155" spans="1:6" x14ac:dyDescent="0.3">
      <c r="A155">
        <v>2020</v>
      </c>
      <c r="B155" t="s">
        <v>57</v>
      </c>
      <c r="C155" t="s">
        <v>16</v>
      </c>
      <c r="D155" s="2">
        <v>12742</v>
      </c>
      <c r="E155" s="2">
        <v>143264</v>
      </c>
      <c r="F155" s="3">
        <v>44610</v>
      </c>
    </row>
    <row r="156" spans="1:6" x14ac:dyDescent="0.3">
      <c r="A156">
        <v>2020</v>
      </c>
      <c r="B156" t="s">
        <v>57</v>
      </c>
      <c r="C156" t="s">
        <v>17</v>
      </c>
      <c r="D156" s="2">
        <v>78196</v>
      </c>
      <c r="E156" s="2">
        <v>1140749</v>
      </c>
      <c r="F156" s="3">
        <v>55780</v>
      </c>
    </row>
    <row r="157" spans="1:6" x14ac:dyDescent="0.3">
      <c r="A157">
        <v>2020</v>
      </c>
      <c r="B157" t="s">
        <v>57</v>
      </c>
      <c r="C157" t="s">
        <v>18</v>
      </c>
      <c r="D157" s="2">
        <v>40846</v>
      </c>
      <c r="E157" s="2">
        <v>583686</v>
      </c>
      <c r="F157" s="3">
        <v>45931</v>
      </c>
    </row>
    <row r="158" spans="1:6" x14ac:dyDescent="0.3">
      <c r="A158">
        <v>2020</v>
      </c>
      <c r="B158" t="s">
        <v>57</v>
      </c>
      <c r="C158" t="s">
        <v>19</v>
      </c>
      <c r="D158" s="2">
        <v>23479</v>
      </c>
      <c r="E158" s="2">
        <v>298376</v>
      </c>
      <c r="F158" s="3">
        <v>44146</v>
      </c>
    </row>
    <row r="159" spans="1:6" x14ac:dyDescent="0.3">
      <c r="A159">
        <v>2020</v>
      </c>
      <c r="B159" t="s">
        <v>57</v>
      </c>
      <c r="C159" t="s">
        <v>20</v>
      </c>
      <c r="D159" s="2">
        <v>19497</v>
      </c>
      <c r="E159" s="2">
        <v>255575</v>
      </c>
      <c r="F159" s="3">
        <v>46012</v>
      </c>
    </row>
    <row r="160" spans="1:6" x14ac:dyDescent="0.3">
      <c r="A160">
        <v>2020</v>
      </c>
      <c r="B160" t="s">
        <v>57</v>
      </c>
      <c r="C160" t="s">
        <v>21</v>
      </c>
      <c r="D160" s="2">
        <v>28266</v>
      </c>
      <c r="E160" s="2">
        <v>393361</v>
      </c>
      <c r="F160" s="3">
        <v>46839</v>
      </c>
    </row>
    <row r="161" spans="1:6" x14ac:dyDescent="0.3">
      <c r="A161">
        <v>2020</v>
      </c>
      <c r="B161" t="s">
        <v>57</v>
      </c>
      <c r="C161" t="s">
        <v>22</v>
      </c>
      <c r="D161" s="2">
        <v>31210</v>
      </c>
      <c r="E161" s="2">
        <v>358336</v>
      </c>
      <c r="F161" s="3">
        <v>46029</v>
      </c>
    </row>
    <row r="162" spans="1:6" x14ac:dyDescent="0.3">
      <c r="A162">
        <v>2020</v>
      </c>
      <c r="B162" t="s">
        <v>57</v>
      </c>
      <c r="C162" t="s">
        <v>23</v>
      </c>
      <c r="D162" s="2">
        <v>10546</v>
      </c>
      <c r="E162" s="2">
        <v>111483</v>
      </c>
      <c r="F162" s="3">
        <v>43084</v>
      </c>
    </row>
    <row r="163" spans="1:6" x14ac:dyDescent="0.3">
      <c r="A163">
        <v>2020</v>
      </c>
      <c r="B163" t="s">
        <v>57</v>
      </c>
      <c r="C163" t="s">
        <v>24</v>
      </c>
      <c r="D163" s="2">
        <v>31685</v>
      </c>
      <c r="E163" s="2">
        <v>441680</v>
      </c>
      <c r="F163" s="3">
        <v>50800</v>
      </c>
    </row>
    <row r="164" spans="1:6" x14ac:dyDescent="0.3">
      <c r="A164">
        <v>2020</v>
      </c>
      <c r="B164" t="s">
        <v>57</v>
      </c>
      <c r="C164" t="s">
        <v>25</v>
      </c>
      <c r="D164" s="2">
        <v>40751</v>
      </c>
      <c r="E164" s="2">
        <v>526726</v>
      </c>
      <c r="F164" s="3">
        <v>61082</v>
      </c>
    </row>
    <row r="165" spans="1:6" x14ac:dyDescent="0.3">
      <c r="A165">
        <v>2020</v>
      </c>
      <c r="B165" t="s">
        <v>57</v>
      </c>
      <c r="C165" t="s">
        <v>26</v>
      </c>
      <c r="D165" s="2">
        <v>55149</v>
      </c>
      <c r="E165" s="2">
        <v>745824</v>
      </c>
      <c r="F165" s="3">
        <v>51869</v>
      </c>
    </row>
    <row r="166" spans="1:6" x14ac:dyDescent="0.3">
      <c r="A166">
        <v>2020</v>
      </c>
      <c r="B166" t="s">
        <v>57</v>
      </c>
      <c r="C166" t="s">
        <v>27</v>
      </c>
      <c r="D166" s="2">
        <v>37255</v>
      </c>
      <c r="E166" s="2">
        <v>499190</v>
      </c>
      <c r="F166" s="3">
        <v>53843</v>
      </c>
    </row>
    <row r="167" spans="1:6" x14ac:dyDescent="0.3">
      <c r="A167">
        <v>2020</v>
      </c>
      <c r="B167" t="s">
        <v>57</v>
      </c>
      <c r="C167" t="s">
        <v>28</v>
      </c>
      <c r="D167" s="2">
        <v>19589</v>
      </c>
      <c r="E167" s="2">
        <v>226629</v>
      </c>
      <c r="F167" s="3">
        <v>40176</v>
      </c>
    </row>
    <row r="168" spans="1:6" x14ac:dyDescent="0.3">
      <c r="A168">
        <v>2020</v>
      </c>
      <c r="B168" t="s">
        <v>57</v>
      </c>
      <c r="C168" t="s">
        <v>29</v>
      </c>
      <c r="D168" s="2">
        <v>39646</v>
      </c>
      <c r="E168" s="2">
        <v>519916</v>
      </c>
      <c r="F168" s="3">
        <v>46520</v>
      </c>
    </row>
    <row r="169" spans="1:6" x14ac:dyDescent="0.3">
      <c r="A169">
        <v>2020</v>
      </c>
      <c r="B169" t="s">
        <v>57</v>
      </c>
      <c r="C169" t="s">
        <v>30</v>
      </c>
      <c r="D169" s="2">
        <v>9323</v>
      </c>
      <c r="E169" s="2">
        <v>89315</v>
      </c>
      <c r="F169" s="3">
        <v>43996</v>
      </c>
    </row>
    <row r="170" spans="1:6" x14ac:dyDescent="0.3">
      <c r="A170">
        <v>2020</v>
      </c>
      <c r="B170" t="s">
        <v>57</v>
      </c>
      <c r="C170" t="s">
        <v>31</v>
      </c>
      <c r="D170" s="2">
        <v>14748</v>
      </c>
      <c r="E170" s="2">
        <v>182745</v>
      </c>
      <c r="F170" s="3">
        <v>44095</v>
      </c>
    </row>
    <row r="171" spans="1:6" x14ac:dyDescent="0.3">
      <c r="A171">
        <v>2020</v>
      </c>
      <c r="B171" t="s">
        <v>57</v>
      </c>
      <c r="C171" t="s">
        <v>32</v>
      </c>
      <c r="D171" s="2">
        <v>15481</v>
      </c>
      <c r="E171" s="2">
        <v>252623</v>
      </c>
      <c r="F171" s="3">
        <v>48334</v>
      </c>
    </row>
    <row r="172" spans="1:6" x14ac:dyDescent="0.3">
      <c r="A172">
        <v>2020</v>
      </c>
      <c r="B172" t="s">
        <v>57</v>
      </c>
      <c r="C172" t="s">
        <v>33</v>
      </c>
      <c r="D172" s="2">
        <v>12460</v>
      </c>
      <c r="E172" s="2">
        <v>133196</v>
      </c>
      <c r="F172" s="3">
        <v>54425</v>
      </c>
    </row>
    <row r="173" spans="1:6" x14ac:dyDescent="0.3">
      <c r="A173">
        <v>2020</v>
      </c>
      <c r="B173" t="s">
        <v>57</v>
      </c>
      <c r="C173" t="s">
        <v>34</v>
      </c>
      <c r="D173" s="2">
        <v>54606</v>
      </c>
      <c r="E173" s="2">
        <v>820259</v>
      </c>
      <c r="F173" s="3">
        <v>58675</v>
      </c>
    </row>
    <row r="174" spans="1:6" x14ac:dyDescent="0.3">
      <c r="A174">
        <v>2020</v>
      </c>
      <c r="B174" t="s">
        <v>57</v>
      </c>
      <c r="C174" t="s">
        <v>35</v>
      </c>
      <c r="D174" s="2">
        <v>10949</v>
      </c>
      <c r="E174" s="2">
        <v>130261</v>
      </c>
      <c r="F174" s="3">
        <v>41086</v>
      </c>
    </row>
    <row r="175" spans="1:6" x14ac:dyDescent="0.3">
      <c r="A175">
        <v>2020</v>
      </c>
      <c r="B175" t="s">
        <v>57</v>
      </c>
      <c r="C175" t="s">
        <v>36</v>
      </c>
      <c r="D175" s="2">
        <v>118946</v>
      </c>
      <c r="E175" s="2">
        <v>1366746</v>
      </c>
      <c r="F175" s="3">
        <v>57939</v>
      </c>
    </row>
    <row r="176" spans="1:6" x14ac:dyDescent="0.3">
      <c r="A176">
        <v>2020</v>
      </c>
      <c r="B176" t="s">
        <v>57</v>
      </c>
      <c r="C176" t="s">
        <v>37</v>
      </c>
      <c r="D176" s="2">
        <v>63455</v>
      </c>
      <c r="E176" s="2">
        <v>844765</v>
      </c>
      <c r="F176" s="3">
        <v>47171</v>
      </c>
    </row>
    <row r="177" spans="1:6" x14ac:dyDescent="0.3">
      <c r="A177">
        <v>2020</v>
      </c>
      <c r="B177" t="s">
        <v>57</v>
      </c>
      <c r="C177" t="s">
        <v>38</v>
      </c>
      <c r="D177" s="2">
        <v>7745</v>
      </c>
      <c r="E177" s="2">
        <v>86570</v>
      </c>
      <c r="F177" s="3">
        <v>52657</v>
      </c>
    </row>
    <row r="178" spans="1:6" x14ac:dyDescent="0.3">
      <c r="A178">
        <v>2020</v>
      </c>
      <c r="B178" t="s">
        <v>57</v>
      </c>
      <c r="C178" t="s">
        <v>39</v>
      </c>
      <c r="D178" s="2">
        <v>68987</v>
      </c>
      <c r="E178" s="2">
        <v>998325</v>
      </c>
      <c r="F178" s="3">
        <v>48088</v>
      </c>
    </row>
    <row r="179" spans="1:6" x14ac:dyDescent="0.3">
      <c r="A179">
        <v>2020</v>
      </c>
      <c r="B179" t="s">
        <v>57</v>
      </c>
      <c r="C179" t="s">
        <v>40</v>
      </c>
      <c r="D179" s="2">
        <v>23912</v>
      </c>
      <c r="E179" s="2">
        <v>301828</v>
      </c>
      <c r="F179" s="3">
        <v>43388</v>
      </c>
    </row>
    <row r="180" spans="1:6" x14ac:dyDescent="0.3">
      <c r="A180">
        <v>2020</v>
      </c>
      <c r="B180" t="s">
        <v>57</v>
      </c>
      <c r="C180" t="s">
        <v>41</v>
      </c>
      <c r="D180" s="2">
        <v>26241</v>
      </c>
      <c r="E180" s="2">
        <v>346783</v>
      </c>
      <c r="F180" s="3">
        <v>49251</v>
      </c>
    </row>
    <row r="181" spans="1:6" x14ac:dyDescent="0.3">
      <c r="A181">
        <v>2020</v>
      </c>
      <c r="B181" t="s">
        <v>57</v>
      </c>
      <c r="C181" t="s">
        <v>42</v>
      </c>
      <c r="D181" s="2">
        <v>73985</v>
      </c>
      <c r="E181" s="2">
        <v>1054388</v>
      </c>
      <c r="F181" s="3">
        <v>49535</v>
      </c>
    </row>
    <row r="182" spans="1:6" x14ac:dyDescent="0.3">
      <c r="A182">
        <v>2020</v>
      </c>
      <c r="B182" t="s">
        <v>57</v>
      </c>
      <c r="C182" t="s">
        <v>43</v>
      </c>
      <c r="D182" s="2">
        <v>7816</v>
      </c>
      <c r="E182" s="2">
        <v>70764</v>
      </c>
      <c r="F182" s="3">
        <v>49493</v>
      </c>
    </row>
    <row r="183" spans="1:6" x14ac:dyDescent="0.3">
      <c r="A183">
        <v>2020</v>
      </c>
      <c r="B183" t="s">
        <v>57</v>
      </c>
      <c r="C183" t="s">
        <v>44</v>
      </c>
      <c r="D183" s="2">
        <v>31674</v>
      </c>
      <c r="E183" s="2">
        <v>400537</v>
      </c>
      <c r="F183" s="3">
        <v>43717</v>
      </c>
    </row>
    <row r="184" spans="1:6" x14ac:dyDescent="0.3">
      <c r="A184">
        <v>2020</v>
      </c>
      <c r="B184" t="s">
        <v>57</v>
      </c>
      <c r="C184" t="s">
        <v>45</v>
      </c>
      <c r="D184" s="2">
        <v>8068</v>
      </c>
      <c r="E184" s="2">
        <v>83179</v>
      </c>
      <c r="F184" s="3">
        <v>44162</v>
      </c>
    </row>
    <row r="185" spans="1:6" x14ac:dyDescent="0.3">
      <c r="A185">
        <v>2020</v>
      </c>
      <c r="B185" t="s">
        <v>57</v>
      </c>
      <c r="C185" t="s">
        <v>46</v>
      </c>
      <c r="D185" s="2">
        <v>40806</v>
      </c>
      <c r="E185" s="2">
        <v>627005</v>
      </c>
      <c r="F185" s="3">
        <v>50111</v>
      </c>
    </row>
    <row r="186" spans="1:6" x14ac:dyDescent="0.3">
      <c r="A186">
        <v>2020</v>
      </c>
      <c r="B186" t="s">
        <v>57</v>
      </c>
      <c r="C186" t="s">
        <v>47</v>
      </c>
      <c r="D186" s="2">
        <v>152438</v>
      </c>
      <c r="E186" s="2">
        <v>2453267</v>
      </c>
      <c r="F186" s="3">
        <v>56485</v>
      </c>
    </row>
    <row r="187" spans="1:6" x14ac:dyDescent="0.3">
      <c r="A187">
        <v>2020</v>
      </c>
      <c r="B187" t="s">
        <v>57</v>
      </c>
      <c r="C187" t="s">
        <v>48</v>
      </c>
      <c r="D187" s="2">
        <v>20535</v>
      </c>
      <c r="E187" s="2">
        <v>288623</v>
      </c>
      <c r="F187" s="3">
        <v>49353</v>
      </c>
    </row>
    <row r="188" spans="1:6" x14ac:dyDescent="0.3">
      <c r="A188">
        <v>2020</v>
      </c>
      <c r="B188" t="s">
        <v>57</v>
      </c>
      <c r="C188" t="s">
        <v>49</v>
      </c>
      <c r="D188" s="2">
        <v>5003</v>
      </c>
      <c r="E188" s="2">
        <v>49851</v>
      </c>
      <c r="F188" s="3">
        <v>45701</v>
      </c>
    </row>
    <row r="189" spans="1:6" x14ac:dyDescent="0.3">
      <c r="A189">
        <v>2020</v>
      </c>
      <c r="B189" t="s">
        <v>57</v>
      </c>
      <c r="C189" t="s">
        <v>50</v>
      </c>
      <c r="D189" s="2">
        <v>42564</v>
      </c>
      <c r="E189" s="2">
        <v>627729</v>
      </c>
      <c r="F189" s="3">
        <v>48371</v>
      </c>
    </row>
    <row r="190" spans="1:6" x14ac:dyDescent="0.3">
      <c r="A190">
        <v>2020</v>
      </c>
      <c r="B190" t="s">
        <v>57</v>
      </c>
      <c r="C190" t="s">
        <v>51</v>
      </c>
      <c r="D190" s="2">
        <v>38688</v>
      </c>
      <c r="E190" s="2">
        <v>615415</v>
      </c>
      <c r="F190" s="3">
        <v>74160</v>
      </c>
    </row>
    <row r="191" spans="1:6" x14ac:dyDescent="0.3">
      <c r="A191">
        <v>2020</v>
      </c>
      <c r="B191" t="s">
        <v>57</v>
      </c>
      <c r="C191" t="s">
        <v>52</v>
      </c>
      <c r="D191" s="2">
        <v>10611</v>
      </c>
      <c r="E191" s="2">
        <v>118677</v>
      </c>
      <c r="F191" s="3">
        <v>42085</v>
      </c>
    </row>
    <row r="192" spans="1:6" x14ac:dyDescent="0.3">
      <c r="A192">
        <v>2020</v>
      </c>
      <c r="B192" t="s">
        <v>57</v>
      </c>
      <c r="C192" t="s">
        <v>53</v>
      </c>
      <c r="D192" s="2">
        <v>35812</v>
      </c>
      <c r="E192" s="2">
        <v>517930</v>
      </c>
      <c r="F192" s="3">
        <v>45165</v>
      </c>
    </row>
    <row r="193" spans="1:6" x14ac:dyDescent="0.3">
      <c r="A193">
        <v>2020</v>
      </c>
      <c r="B193" t="s">
        <v>57</v>
      </c>
      <c r="C193" t="s">
        <v>54</v>
      </c>
      <c r="D193" s="2">
        <v>4840</v>
      </c>
      <c r="E193" s="2">
        <v>48509</v>
      </c>
      <c r="F193" s="3">
        <v>44879</v>
      </c>
    </row>
    <row r="194" spans="1:6" x14ac:dyDescent="0.3">
      <c r="A194">
        <v>2020</v>
      </c>
      <c r="B194" t="s">
        <v>58</v>
      </c>
      <c r="C194" t="s">
        <v>7</v>
      </c>
      <c r="D194" s="2">
        <v>2566</v>
      </c>
      <c r="E194" s="2">
        <v>19310</v>
      </c>
      <c r="F194" s="3">
        <v>69393</v>
      </c>
    </row>
    <row r="195" spans="1:6" x14ac:dyDescent="0.3">
      <c r="A195">
        <v>2020</v>
      </c>
      <c r="B195" t="s">
        <v>58</v>
      </c>
      <c r="C195" t="s">
        <v>8</v>
      </c>
      <c r="D195" s="2">
        <v>4017</v>
      </c>
      <c r="E195" s="2">
        <v>45513</v>
      </c>
      <c r="F195" s="3">
        <v>90871</v>
      </c>
    </row>
    <row r="196" spans="1:6" x14ac:dyDescent="0.3">
      <c r="A196">
        <v>2020</v>
      </c>
      <c r="B196" t="s">
        <v>58</v>
      </c>
      <c r="C196" t="s">
        <v>9</v>
      </c>
      <c r="D196" s="2">
        <v>1536</v>
      </c>
      <c r="E196" s="2">
        <v>11509</v>
      </c>
      <c r="F196" s="3">
        <v>69820</v>
      </c>
    </row>
    <row r="197" spans="1:6" x14ac:dyDescent="0.3">
      <c r="A197">
        <v>2020</v>
      </c>
      <c r="B197" t="s">
        <v>58</v>
      </c>
      <c r="C197" t="s">
        <v>10</v>
      </c>
      <c r="D197" s="2">
        <v>29491</v>
      </c>
      <c r="E197" s="2">
        <v>527549</v>
      </c>
      <c r="F197" s="3">
        <v>217892</v>
      </c>
    </row>
    <row r="198" spans="1:6" x14ac:dyDescent="0.3">
      <c r="A198">
        <v>2020</v>
      </c>
      <c r="B198" t="s">
        <v>58</v>
      </c>
      <c r="C198" t="s">
        <v>11</v>
      </c>
      <c r="D198" s="2">
        <v>4548</v>
      </c>
      <c r="E198" s="2">
        <v>74867</v>
      </c>
      <c r="F198" s="3">
        <v>123495</v>
      </c>
    </row>
    <row r="199" spans="1:6" x14ac:dyDescent="0.3">
      <c r="A199">
        <v>2020</v>
      </c>
      <c r="B199" t="s">
        <v>58</v>
      </c>
      <c r="C199" t="s">
        <v>12</v>
      </c>
      <c r="D199" s="2">
        <v>2880</v>
      </c>
      <c r="E199" s="2">
        <v>29237</v>
      </c>
      <c r="F199" s="3">
        <v>138917</v>
      </c>
    </row>
    <row r="200" spans="1:6" x14ac:dyDescent="0.3">
      <c r="A200">
        <v>2020</v>
      </c>
      <c r="B200" t="s">
        <v>58</v>
      </c>
      <c r="C200" t="s">
        <v>13</v>
      </c>
      <c r="D200">
        <v>549</v>
      </c>
      <c r="E200" s="2">
        <v>3622</v>
      </c>
      <c r="F200" s="3">
        <v>78966</v>
      </c>
    </row>
    <row r="201" spans="1:6" x14ac:dyDescent="0.3">
      <c r="A201">
        <v>2020</v>
      </c>
      <c r="B201" t="s">
        <v>58</v>
      </c>
      <c r="C201" t="s">
        <v>14</v>
      </c>
      <c r="D201" s="2">
        <v>12659</v>
      </c>
      <c r="E201" s="2">
        <v>130298</v>
      </c>
      <c r="F201" s="3">
        <v>93350</v>
      </c>
    </row>
    <row r="202" spans="1:6" x14ac:dyDescent="0.3">
      <c r="A202">
        <v>2020</v>
      </c>
      <c r="B202" t="s">
        <v>58</v>
      </c>
      <c r="C202" t="s">
        <v>15</v>
      </c>
      <c r="D202" s="2">
        <v>6010</v>
      </c>
      <c r="E202" s="2">
        <v>109190</v>
      </c>
      <c r="F202" s="3">
        <v>108735</v>
      </c>
    </row>
    <row r="203" spans="1:6" x14ac:dyDescent="0.3">
      <c r="A203">
        <v>2020</v>
      </c>
      <c r="B203" t="s">
        <v>58</v>
      </c>
      <c r="C203" t="s">
        <v>16</v>
      </c>
      <c r="D203" s="2">
        <v>1385</v>
      </c>
      <c r="E203" s="2">
        <v>7346</v>
      </c>
      <c r="F203" s="3">
        <v>64408</v>
      </c>
    </row>
    <row r="204" spans="1:6" x14ac:dyDescent="0.3">
      <c r="A204">
        <v>2020</v>
      </c>
      <c r="B204" t="s">
        <v>58</v>
      </c>
      <c r="C204" t="s">
        <v>17</v>
      </c>
      <c r="D204" s="2">
        <v>7162</v>
      </c>
      <c r="E204" s="2">
        <v>87520</v>
      </c>
      <c r="F204" s="3">
        <v>110059</v>
      </c>
    </row>
    <row r="205" spans="1:6" x14ac:dyDescent="0.3">
      <c r="A205">
        <v>2020</v>
      </c>
      <c r="B205" t="s">
        <v>58</v>
      </c>
      <c r="C205" t="s">
        <v>18</v>
      </c>
      <c r="D205" s="2">
        <v>2521</v>
      </c>
      <c r="E205" s="2">
        <v>26075</v>
      </c>
      <c r="F205" s="3">
        <v>67191</v>
      </c>
    </row>
    <row r="206" spans="1:6" x14ac:dyDescent="0.3">
      <c r="A206">
        <v>2020</v>
      </c>
      <c r="B206" t="s">
        <v>58</v>
      </c>
      <c r="C206" t="s">
        <v>19</v>
      </c>
      <c r="D206" s="2">
        <v>1811</v>
      </c>
      <c r="E206" s="2">
        <v>19135</v>
      </c>
      <c r="F206" s="3">
        <v>66858</v>
      </c>
    </row>
    <row r="207" spans="1:6" x14ac:dyDescent="0.3">
      <c r="A207">
        <v>2020</v>
      </c>
      <c r="B207" t="s">
        <v>58</v>
      </c>
      <c r="C207" t="s">
        <v>20</v>
      </c>
      <c r="D207" s="2">
        <v>1561</v>
      </c>
      <c r="E207" s="2">
        <v>16734</v>
      </c>
      <c r="F207" s="3">
        <v>73749</v>
      </c>
    </row>
    <row r="208" spans="1:6" x14ac:dyDescent="0.3">
      <c r="A208">
        <v>2020</v>
      </c>
      <c r="B208" t="s">
        <v>58</v>
      </c>
      <c r="C208" t="s">
        <v>21</v>
      </c>
      <c r="D208" s="2">
        <v>2111</v>
      </c>
      <c r="E208" s="2">
        <v>20268</v>
      </c>
      <c r="F208" s="3">
        <v>63462</v>
      </c>
    </row>
    <row r="209" spans="1:6" x14ac:dyDescent="0.3">
      <c r="A209">
        <v>2020</v>
      </c>
      <c r="B209" t="s">
        <v>58</v>
      </c>
      <c r="C209" t="s">
        <v>22</v>
      </c>
      <c r="D209" s="2">
        <v>1935</v>
      </c>
      <c r="E209" s="2">
        <v>18712</v>
      </c>
      <c r="F209" s="3">
        <v>65700</v>
      </c>
    </row>
    <row r="210" spans="1:6" x14ac:dyDescent="0.3">
      <c r="A210">
        <v>2020</v>
      </c>
      <c r="B210" t="s">
        <v>58</v>
      </c>
      <c r="C210" t="s">
        <v>23</v>
      </c>
      <c r="D210">
        <v>916</v>
      </c>
      <c r="E210" s="2">
        <v>6415</v>
      </c>
      <c r="F210" s="3">
        <v>64265</v>
      </c>
    </row>
    <row r="211" spans="1:6" x14ac:dyDescent="0.3">
      <c r="A211">
        <v>2020</v>
      </c>
      <c r="B211" t="s">
        <v>58</v>
      </c>
      <c r="C211" t="s">
        <v>24</v>
      </c>
      <c r="D211" s="2">
        <v>2855</v>
      </c>
      <c r="E211" s="2">
        <v>33029</v>
      </c>
      <c r="F211" s="3">
        <v>110569</v>
      </c>
    </row>
    <row r="212" spans="1:6" x14ac:dyDescent="0.3">
      <c r="A212">
        <v>2020</v>
      </c>
      <c r="B212" t="s">
        <v>58</v>
      </c>
      <c r="C212" t="s">
        <v>25</v>
      </c>
      <c r="D212" s="2">
        <v>6073</v>
      </c>
      <c r="E212" s="2">
        <v>89231</v>
      </c>
      <c r="F212" s="3">
        <v>146746</v>
      </c>
    </row>
    <row r="213" spans="1:6" x14ac:dyDescent="0.3">
      <c r="A213">
        <v>2020</v>
      </c>
      <c r="B213" t="s">
        <v>58</v>
      </c>
      <c r="C213" t="s">
        <v>26</v>
      </c>
      <c r="D213" s="2">
        <v>7671</v>
      </c>
      <c r="E213" s="2">
        <v>50511</v>
      </c>
      <c r="F213" s="3">
        <v>88745</v>
      </c>
    </row>
    <row r="214" spans="1:6" x14ac:dyDescent="0.3">
      <c r="A214">
        <v>2020</v>
      </c>
      <c r="B214" t="s">
        <v>58</v>
      </c>
      <c r="C214" t="s">
        <v>27</v>
      </c>
      <c r="D214" s="2">
        <v>4304</v>
      </c>
      <c r="E214" s="2">
        <v>43145</v>
      </c>
      <c r="F214" s="3">
        <v>92292</v>
      </c>
    </row>
    <row r="215" spans="1:6" x14ac:dyDescent="0.3">
      <c r="A215">
        <v>2020</v>
      </c>
      <c r="B215" t="s">
        <v>58</v>
      </c>
      <c r="C215" t="s">
        <v>28</v>
      </c>
      <c r="D215">
        <v>964</v>
      </c>
      <c r="E215" s="2">
        <v>9629</v>
      </c>
      <c r="F215" s="3">
        <v>54301</v>
      </c>
    </row>
    <row r="216" spans="1:6" x14ac:dyDescent="0.3">
      <c r="A216">
        <v>2020</v>
      </c>
      <c r="B216" t="s">
        <v>58</v>
      </c>
      <c r="C216" t="s">
        <v>29</v>
      </c>
      <c r="D216" s="2">
        <v>3562</v>
      </c>
      <c r="E216" s="2">
        <v>43675</v>
      </c>
      <c r="F216" s="3">
        <v>89327</v>
      </c>
    </row>
    <row r="217" spans="1:6" x14ac:dyDescent="0.3">
      <c r="A217">
        <v>2020</v>
      </c>
      <c r="B217" t="s">
        <v>58</v>
      </c>
      <c r="C217" t="s">
        <v>30</v>
      </c>
      <c r="D217">
        <v>856</v>
      </c>
      <c r="E217" s="2">
        <v>5797</v>
      </c>
      <c r="F217" s="3">
        <v>65673</v>
      </c>
    </row>
    <row r="218" spans="1:6" x14ac:dyDescent="0.3">
      <c r="A218">
        <v>2020</v>
      </c>
      <c r="B218" t="s">
        <v>58</v>
      </c>
      <c r="C218" t="s">
        <v>31</v>
      </c>
      <c r="D218" s="2">
        <v>1071</v>
      </c>
      <c r="E218" s="2">
        <v>16165</v>
      </c>
      <c r="F218" s="3">
        <v>76361</v>
      </c>
    </row>
    <row r="219" spans="1:6" x14ac:dyDescent="0.3">
      <c r="A219">
        <v>2020</v>
      </c>
      <c r="B219" t="s">
        <v>58</v>
      </c>
      <c r="C219" t="s">
        <v>32</v>
      </c>
      <c r="D219" s="2">
        <v>1609</v>
      </c>
      <c r="E219" s="2">
        <v>13306</v>
      </c>
      <c r="F219" s="3">
        <v>88353</v>
      </c>
    </row>
    <row r="220" spans="1:6" x14ac:dyDescent="0.3">
      <c r="A220">
        <v>2020</v>
      </c>
      <c r="B220" t="s">
        <v>58</v>
      </c>
      <c r="C220" t="s">
        <v>33</v>
      </c>
      <c r="D220" s="2">
        <v>1168</v>
      </c>
      <c r="E220" s="2">
        <v>11735</v>
      </c>
      <c r="F220" s="3">
        <v>107194</v>
      </c>
    </row>
    <row r="221" spans="1:6" x14ac:dyDescent="0.3">
      <c r="A221">
        <v>2020</v>
      </c>
      <c r="B221" t="s">
        <v>58</v>
      </c>
      <c r="C221" t="s">
        <v>34</v>
      </c>
      <c r="D221" s="2">
        <v>3965</v>
      </c>
      <c r="E221" s="2">
        <v>67885</v>
      </c>
      <c r="F221" s="3">
        <v>130541</v>
      </c>
    </row>
    <row r="222" spans="1:6" x14ac:dyDescent="0.3">
      <c r="A222">
        <v>2020</v>
      </c>
      <c r="B222" t="s">
        <v>58</v>
      </c>
      <c r="C222" t="s">
        <v>35</v>
      </c>
      <c r="D222" s="2">
        <v>1108</v>
      </c>
      <c r="E222" s="2">
        <v>9076</v>
      </c>
      <c r="F222" s="3">
        <v>62393</v>
      </c>
    </row>
    <row r="223" spans="1:6" x14ac:dyDescent="0.3">
      <c r="A223">
        <v>2020</v>
      </c>
      <c r="B223" t="s">
        <v>58</v>
      </c>
      <c r="C223" t="s">
        <v>36</v>
      </c>
      <c r="D223" s="2">
        <v>14380</v>
      </c>
      <c r="E223" s="2">
        <v>267749</v>
      </c>
      <c r="F223" s="3">
        <v>154357</v>
      </c>
    </row>
    <row r="224" spans="1:6" x14ac:dyDescent="0.3">
      <c r="A224">
        <v>2020</v>
      </c>
      <c r="B224" t="s">
        <v>58</v>
      </c>
      <c r="C224" t="s">
        <v>37</v>
      </c>
      <c r="D224" s="2">
        <v>6302</v>
      </c>
      <c r="E224" s="2">
        <v>73440</v>
      </c>
      <c r="F224" s="3">
        <v>96207</v>
      </c>
    </row>
    <row r="225" spans="1:6" x14ac:dyDescent="0.3">
      <c r="A225">
        <v>2020</v>
      </c>
      <c r="B225" t="s">
        <v>58</v>
      </c>
      <c r="C225" t="s">
        <v>38</v>
      </c>
      <c r="D225">
        <v>417</v>
      </c>
      <c r="E225" s="2">
        <v>5780</v>
      </c>
      <c r="F225" s="3">
        <v>79624</v>
      </c>
    </row>
    <row r="226" spans="1:6" x14ac:dyDescent="0.3">
      <c r="A226">
        <v>2020</v>
      </c>
      <c r="B226" t="s">
        <v>58</v>
      </c>
      <c r="C226" t="s">
        <v>39</v>
      </c>
      <c r="D226" s="2">
        <v>5303</v>
      </c>
      <c r="E226" s="2">
        <v>63865</v>
      </c>
      <c r="F226" s="3">
        <v>80052</v>
      </c>
    </row>
    <row r="227" spans="1:6" x14ac:dyDescent="0.3">
      <c r="A227">
        <v>2020</v>
      </c>
      <c r="B227" t="s">
        <v>58</v>
      </c>
      <c r="C227" t="s">
        <v>40</v>
      </c>
      <c r="D227" s="2">
        <v>1572</v>
      </c>
      <c r="E227" s="2">
        <v>18256</v>
      </c>
      <c r="F227" s="3">
        <v>63710</v>
      </c>
    </row>
    <row r="228" spans="1:6" x14ac:dyDescent="0.3">
      <c r="A228">
        <v>2020</v>
      </c>
      <c r="B228" t="s">
        <v>58</v>
      </c>
      <c r="C228" t="s">
        <v>41</v>
      </c>
      <c r="D228" s="2">
        <v>4605</v>
      </c>
      <c r="E228" s="2">
        <v>33218</v>
      </c>
      <c r="F228" s="3">
        <v>101737</v>
      </c>
    </row>
    <row r="229" spans="1:6" x14ac:dyDescent="0.3">
      <c r="A229">
        <v>2020</v>
      </c>
      <c r="B229" t="s">
        <v>58</v>
      </c>
      <c r="C229" t="s">
        <v>42</v>
      </c>
      <c r="D229" s="2">
        <v>5891</v>
      </c>
      <c r="E229" s="2">
        <v>82872</v>
      </c>
      <c r="F229" s="3">
        <v>107388</v>
      </c>
    </row>
    <row r="230" spans="1:6" x14ac:dyDescent="0.3">
      <c r="A230">
        <v>2020</v>
      </c>
      <c r="B230" t="s">
        <v>58</v>
      </c>
      <c r="C230" t="s">
        <v>43</v>
      </c>
      <c r="D230">
        <v>762</v>
      </c>
      <c r="E230" s="2">
        <v>5243</v>
      </c>
      <c r="F230" s="3">
        <v>87286</v>
      </c>
    </row>
    <row r="231" spans="1:6" x14ac:dyDescent="0.3">
      <c r="A231">
        <v>2020</v>
      </c>
      <c r="B231" t="s">
        <v>58</v>
      </c>
      <c r="C231" t="s">
        <v>44</v>
      </c>
      <c r="D231" s="2">
        <v>3216</v>
      </c>
      <c r="E231" s="2">
        <v>24744</v>
      </c>
      <c r="F231" s="3">
        <v>73562</v>
      </c>
    </row>
    <row r="232" spans="1:6" x14ac:dyDescent="0.3">
      <c r="A232">
        <v>2020</v>
      </c>
      <c r="B232" t="s">
        <v>58</v>
      </c>
      <c r="C232" t="s">
        <v>45</v>
      </c>
      <c r="D232">
        <v>606</v>
      </c>
      <c r="E232" s="2">
        <v>5074</v>
      </c>
      <c r="F232" s="3">
        <v>58069</v>
      </c>
    </row>
    <row r="233" spans="1:6" x14ac:dyDescent="0.3">
      <c r="A233">
        <v>2020</v>
      </c>
      <c r="B233" t="s">
        <v>58</v>
      </c>
      <c r="C233" t="s">
        <v>46</v>
      </c>
      <c r="D233" s="2">
        <v>4525</v>
      </c>
      <c r="E233" s="2">
        <v>42929</v>
      </c>
      <c r="F233" s="3">
        <v>81293</v>
      </c>
    </row>
    <row r="234" spans="1:6" x14ac:dyDescent="0.3">
      <c r="A234">
        <v>2020</v>
      </c>
      <c r="B234" t="s">
        <v>58</v>
      </c>
      <c r="C234" t="s">
        <v>47</v>
      </c>
      <c r="D234" s="2">
        <v>11822</v>
      </c>
      <c r="E234" s="2">
        <v>198521</v>
      </c>
      <c r="F234" s="3">
        <v>102835</v>
      </c>
    </row>
    <row r="235" spans="1:6" x14ac:dyDescent="0.3">
      <c r="A235">
        <v>2020</v>
      </c>
      <c r="B235" t="s">
        <v>58</v>
      </c>
      <c r="C235" t="s">
        <v>48</v>
      </c>
      <c r="D235" s="2">
        <v>3177</v>
      </c>
      <c r="E235" s="2">
        <v>37222</v>
      </c>
      <c r="F235" s="3">
        <v>96974</v>
      </c>
    </row>
    <row r="236" spans="1:6" x14ac:dyDescent="0.3">
      <c r="A236">
        <v>2020</v>
      </c>
      <c r="B236" t="s">
        <v>58</v>
      </c>
      <c r="C236" t="s">
        <v>49</v>
      </c>
      <c r="D236">
        <v>584</v>
      </c>
      <c r="E236" s="2">
        <v>3961</v>
      </c>
      <c r="F236" s="3">
        <v>68605</v>
      </c>
    </row>
    <row r="237" spans="1:6" x14ac:dyDescent="0.3">
      <c r="A237">
        <v>2020</v>
      </c>
      <c r="B237" t="s">
        <v>58</v>
      </c>
      <c r="C237" t="s">
        <v>50</v>
      </c>
      <c r="D237" s="2">
        <v>4875</v>
      </c>
      <c r="E237" s="2">
        <v>64840</v>
      </c>
      <c r="F237" s="3">
        <v>117848</v>
      </c>
    </row>
    <row r="238" spans="1:6" x14ac:dyDescent="0.3">
      <c r="A238">
        <v>2020</v>
      </c>
      <c r="B238" t="s">
        <v>58</v>
      </c>
      <c r="C238" t="s">
        <v>51</v>
      </c>
      <c r="D238" s="2">
        <v>5419</v>
      </c>
      <c r="E238" s="2">
        <v>148556</v>
      </c>
      <c r="F238" s="3">
        <v>242273</v>
      </c>
    </row>
    <row r="239" spans="1:6" x14ac:dyDescent="0.3">
      <c r="A239">
        <v>2020</v>
      </c>
      <c r="B239" t="s">
        <v>58</v>
      </c>
      <c r="C239" t="s">
        <v>52</v>
      </c>
      <c r="D239">
        <v>825</v>
      </c>
      <c r="E239" s="2">
        <v>7215</v>
      </c>
      <c r="F239" s="3">
        <v>58063</v>
      </c>
    </row>
    <row r="240" spans="1:6" x14ac:dyDescent="0.3">
      <c r="A240">
        <v>2020</v>
      </c>
      <c r="B240" t="s">
        <v>58</v>
      </c>
      <c r="C240" t="s">
        <v>53</v>
      </c>
      <c r="D240" s="2">
        <v>2400</v>
      </c>
      <c r="E240" s="2">
        <v>44846</v>
      </c>
      <c r="F240" s="3">
        <v>88336</v>
      </c>
    </row>
    <row r="241" spans="1:6" x14ac:dyDescent="0.3">
      <c r="A241">
        <v>2020</v>
      </c>
      <c r="B241" t="s">
        <v>58</v>
      </c>
      <c r="C241" t="s">
        <v>54</v>
      </c>
      <c r="D241">
        <v>428</v>
      </c>
      <c r="E241" s="2">
        <v>3000</v>
      </c>
      <c r="F241" s="3">
        <v>54299</v>
      </c>
    </row>
    <row r="242" spans="1:6" x14ac:dyDescent="0.3">
      <c r="A242">
        <v>2020</v>
      </c>
      <c r="B242" t="s">
        <v>59</v>
      </c>
      <c r="C242" t="s">
        <v>7</v>
      </c>
      <c r="D242" s="2">
        <v>13880</v>
      </c>
      <c r="E242" s="2">
        <v>94715</v>
      </c>
      <c r="F242" s="3">
        <v>75982</v>
      </c>
    </row>
    <row r="243" spans="1:6" x14ac:dyDescent="0.3">
      <c r="A243">
        <v>2020</v>
      </c>
      <c r="B243" t="s">
        <v>59</v>
      </c>
      <c r="C243" t="s">
        <v>8</v>
      </c>
      <c r="D243" s="2">
        <v>20707</v>
      </c>
      <c r="E243" s="2">
        <v>225922</v>
      </c>
      <c r="F243" s="3">
        <v>82956</v>
      </c>
    </row>
    <row r="244" spans="1:6" x14ac:dyDescent="0.3">
      <c r="A244">
        <v>2020</v>
      </c>
      <c r="B244" t="s">
        <v>59</v>
      </c>
      <c r="C244" t="s">
        <v>9</v>
      </c>
      <c r="D244" s="2">
        <v>8906</v>
      </c>
      <c r="E244" s="2">
        <v>51950</v>
      </c>
      <c r="F244" s="3">
        <v>65321</v>
      </c>
    </row>
    <row r="245" spans="1:6" x14ac:dyDescent="0.3">
      <c r="A245">
        <v>2020</v>
      </c>
      <c r="B245" t="s">
        <v>59</v>
      </c>
      <c r="C245" t="s">
        <v>10</v>
      </c>
      <c r="D245" s="2">
        <v>112775</v>
      </c>
      <c r="E245" s="2">
        <v>817007</v>
      </c>
      <c r="F245" s="3">
        <v>124107</v>
      </c>
    </row>
    <row r="246" spans="1:6" x14ac:dyDescent="0.3">
      <c r="A246">
        <v>2020</v>
      </c>
      <c r="B246" t="s">
        <v>59</v>
      </c>
      <c r="C246" t="s">
        <v>11</v>
      </c>
      <c r="D246" s="2">
        <v>25139</v>
      </c>
      <c r="E246" s="2">
        <v>165271</v>
      </c>
      <c r="F246" s="3">
        <v>97276</v>
      </c>
    </row>
    <row r="247" spans="1:6" x14ac:dyDescent="0.3">
      <c r="A247">
        <v>2020</v>
      </c>
      <c r="B247" t="s">
        <v>59</v>
      </c>
      <c r="C247" t="s">
        <v>12</v>
      </c>
      <c r="D247" s="2">
        <v>11223</v>
      </c>
      <c r="E247" s="2">
        <v>118168</v>
      </c>
      <c r="F247" s="3">
        <v>165086</v>
      </c>
    </row>
    <row r="248" spans="1:6" x14ac:dyDescent="0.3">
      <c r="A248">
        <v>2020</v>
      </c>
      <c r="B248" t="s">
        <v>59</v>
      </c>
      <c r="C248" t="s">
        <v>13</v>
      </c>
      <c r="D248" s="2">
        <v>3005</v>
      </c>
      <c r="E248" s="2">
        <v>47390</v>
      </c>
      <c r="F248" s="3">
        <v>103154</v>
      </c>
    </row>
    <row r="249" spans="1:6" x14ac:dyDescent="0.3">
      <c r="A249">
        <v>2020</v>
      </c>
      <c r="B249" t="s">
        <v>59</v>
      </c>
      <c r="C249" t="s">
        <v>14</v>
      </c>
      <c r="D249" s="2">
        <v>80956</v>
      </c>
      <c r="E249" s="2">
        <v>586706</v>
      </c>
      <c r="F249" s="3">
        <v>84307</v>
      </c>
    </row>
    <row r="250" spans="1:6" x14ac:dyDescent="0.3">
      <c r="A250">
        <v>2020</v>
      </c>
      <c r="B250" t="s">
        <v>59</v>
      </c>
      <c r="C250" t="s">
        <v>15</v>
      </c>
      <c r="D250" s="2">
        <v>28810</v>
      </c>
      <c r="E250" s="2">
        <v>242175</v>
      </c>
      <c r="F250" s="3">
        <v>93145</v>
      </c>
    </row>
    <row r="251" spans="1:6" x14ac:dyDescent="0.3">
      <c r="A251">
        <v>2020</v>
      </c>
      <c r="B251" t="s">
        <v>59</v>
      </c>
      <c r="C251" t="s">
        <v>16</v>
      </c>
      <c r="D251" s="2">
        <v>6508</v>
      </c>
      <c r="E251" s="2">
        <v>34249</v>
      </c>
      <c r="F251" s="3">
        <v>68833</v>
      </c>
    </row>
    <row r="252" spans="1:6" x14ac:dyDescent="0.3">
      <c r="A252">
        <v>2020</v>
      </c>
      <c r="B252" t="s">
        <v>59</v>
      </c>
      <c r="C252" t="s">
        <v>17</v>
      </c>
      <c r="D252" s="2">
        <v>33063</v>
      </c>
      <c r="E252" s="2">
        <v>376539</v>
      </c>
      <c r="F252" s="3">
        <v>121634</v>
      </c>
    </row>
    <row r="253" spans="1:6" x14ac:dyDescent="0.3">
      <c r="A253">
        <v>2020</v>
      </c>
      <c r="B253" t="s">
        <v>59</v>
      </c>
      <c r="C253" t="s">
        <v>18</v>
      </c>
      <c r="D253" s="2">
        <v>17574</v>
      </c>
      <c r="E253" s="2">
        <v>133449</v>
      </c>
      <c r="F253" s="3">
        <v>72283</v>
      </c>
    </row>
    <row r="254" spans="1:6" x14ac:dyDescent="0.3">
      <c r="A254">
        <v>2020</v>
      </c>
      <c r="B254" t="s">
        <v>59</v>
      </c>
      <c r="C254" t="s">
        <v>19</v>
      </c>
      <c r="D254" s="2">
        <v>10731</v>
      </c>
      <c r="E254" s="2">
        <v>109283</v>
      </c>
      <c r="F254" s="3">
        <v>81131</v>
      </c>
    </row>
    <row r="255" spans="1:6" x14ac:dyDescent="0.3">
      <c r="A255">
        <v>2020</v>
      </c>
      <c r="B255" t="s">
        <v>59</v>
      </c>
      <c r="C255" t="s">
        <v>20</v>
      </c>
      <c r="D255" s="2">
        <v>8752</v>
      </c>
      <c r="E255" s="2">
        <v>73310</v>
      </c>
      <c r="F255" s="3">
        <v>75889</v>
      </c>
    </row>
    <row r="256" spans="1:6" x14ac:dyDescent="0.3">
      <c r="A256">
        <v>2020</v>
      </c>
      <c r="B256" t="s">
        <v>59</v>
      </c>
      <c r="C256" t="s">
        <v>21</v>
      </c>
      <c r="D256" s="2">
        <v>11729</v>
      </c>
      <c r="E256" s="2">
        <v>92079</v>
      </c>
      <c r="F256" s="3">
        <v>75177</v>
      </c>
    </row>
    <row r="257" spans="1:6" x14ac:dyDescent="0.3">
      <c r="A257">
        <v>2020</v>
      </c>
      <c r="B257" t="s">
        <v>59</v>
      </c>
      <c r="C257" t="s">
        <v>22</v>
      </c>
      <c r="D257" s="2">
        <v>14229</v>
      </c>
      <c r="E257" s="2">
        <v>81149</v>
      </c>
      <c r="F257" s="3">
        <v>69409</v>
      </c>
    </row>
    <row r="258" spans="1:6" x14ac:dyDescent="0.3">
      <c r="A258">
        <v>2020</v>
      </c>
      <c r="B258" t="s">
        <v>59</v>
      </c>
      <c r="C258" t="s">
        <v>23</v>
      </c>
      <c r="D258" s="2">
        <v>3926</v>
      </c>
      <c r="E258" s="2">
        <v>30107</v>
      </c>
      <c r="F258" s="3">
        <v>75870</v>
      </c>
    </row>
    <row r="259" spans="1:6" x14ac:dyDescent="0.3">
      <c r="A259">
        <v>2020</v>
      </c>
      <c r="B259" t="s">
        <v>59</v>
      </c>
      <c r="C259" t="s">
        <v>24</v>
      </c>
      <c r="D259" s="2">
        <v>15692</v>
      </c>
      <c r="E259" s="2">
        <v>129771</v>
      </c>
      <c r="F259" s="3">
        <v>110159</v>
      </c>
    </row>
    <row r="260" spans="1:6" x14ac:dyDescent="0.3">
      <c r="A260">
        <v>2020</v>
      </c>
      <c r="B260" t="s">
        <v>59</v>
      </c>
      <c r="C260" t="s">
        <v>25</v>
      </c>
      <c r="D260" s="2">
        <v>18137</v>
      </c>
      <c r="E260" s="2">
        <v>212062</v>
      </c>
      <c r="F260" s="3">
        <v>159120</v>
      </c>
    </row>
    <row r="261" spans="1:6" x14ac:dyDescent="0.3">
      <c r="A261">
        <v>2020</v>
      </c>
      <c r="B261" t="s">
        <v>59</v>
      </c>
      <c r="C261" t="s">
        <v>26</v>
      </c>
      <c r="D261" s="2">
        <v>20626</v>
      </c>
      <c r="E261" s="2">
        <v>207448</v>
      </c>
      <c r="F261" s="3">
        <v>81720</v>
      </c>
    </row>
    <row r="262" spans="1:6" x14ac:dyDescent="0.3">
      <c r="A262">
        <v>2020</v>
      </c>
      <c r="B262" t="s">
        <v>59</v>
      </c>
      <c r="C262" t="s">
        <v>27</v>
      </c>
      <c r="D262" s="2">
        <v>16134</v>
      </c>
      <c r="E262" s="2">
        <v>179728</v>
      </c>
      <c r="F262" s="3">
        <v>104989</v>
      </c>
    </row>
    <row r="263" spans="1:6" x14ac:dyDescent="0.3">
      <c r="A263">
        <v>2020</v>
      </c>
      <c r="B263" t="s">
        <v>59</v>
      </c>
      <c r="C263" t="s">
        <v>28</v>
      </c>
      <c r="D263" s="2">
        <v>7984</v>
      </c>
      <c r="E263" s="2">
        <v>41912</v>
      </c>
      <c r="F263" s="3">
        <v>59263</v>
      </c>
    </row>
    <row r="264" spans="1:6" x14ac:dyDescent="0.3">
      <c r="A264">
        <v>2020</v>
      </c>
      <c r="B264" t="s">
        <v>59</v>
      </c>
      <c r="C264" t="s">
        <v>29</v>
      </c>
      <c r="D264" s="2">
        <v>18815</v>
      </c>
      <c r="E264" s="2">
        <v>165564</v>
      </c>
      <c r="F264" s="3">
        <v>82664</v>
      </c>
    </row>
    <row r="265" spans="1:6" x14ac:dyDescent="0.3">
      <c r="A265">
        <v>2020</v>
      </c>
      <c r="B265" t="s">
        <v>59</v>
      </c>
      <c r="C265" t="s">
        <v>30</v>
      </c>
      <c r="D265" s="2">
        <v>4557</v>
      </c>
      <c r="E265" s="2">
        <v>21986</v>
      </c>
      <c r="F265" s="3">
        <v>67330</v>
      </c>
    </row>
    <row r="266" spans="1:6" x14ac:dyDescent="0.3">
      <c r="A266">
        <v>2020</v>
      </c>
      <c r="B266" t="s">
        <v>59</v>
      </c>
      <c r="C266" t="s">
        <v>31</v>
      </c>
      <c r="D266" s="2">
        <v>7000</v>
      </c>
      <c r="E266" s="2">
        <v>66588</v>
      </c>
      <c r="F266" s="3">
        <v>74942</v>
      </c>
    </row>
    <row r="267" spans="1:6" x14ac:dyDescent="0.3">
      <c r="A267">
        <v>2020</v>
      </c>
      <c r="B267" t="s">
        <v>59</v>
      </c>
      <c r="C267" t="s">
        <v>32</v>
      </c>
      <c r="D267" s="2">
        <v>9293</v>
      </c>
      <c r="E267" s="2">
        <v>62325</v>
      </c>
      <c r="F267" s="3">
        <v>79236</v>
      </c>
    </row>
    <row r="268" spans="1:6" x14ac:dyDescent="0.3">
      <c r="A268">
        <v>2020</v>
      </c>
      <c r="B268" t="s">
        <v>59</v>
      </c>
      <c r="C268" t="s">
        <v>33</v>
      </c>
      <c r="D268" s="2">
        <v>3946</v>
      </c>
      <c r="E268" s="2">
        <v>33027</v>
      </c>
      <c r="F268" s="3">
        <v>109751</v>
      </c>
    </row>
    <row r="269" spans="1:6" x14ac:dyDescent="0.3">
      <c r="A269">
        <v>2020</v>
      </c>
      <c r="B269" t="s">
        <v>59</v>
      </c>
      <c r="C269" t="s">
        <v>34</v>
      </c>
      <c r="D269" s="2">
        <v>20469</v>
      </c>
      <c r="E269" s="2">
        <v>235676</v>
      </c>
      <c r="F269" s="3">
        <v>127870</v>
      </c>
    </row>
    <row r="270" spans="1:6" x14ac:dyDescent="0.3">
      <c r="A270">
        <v>2020</v>
      </c>
      <c r="B270" t="s">
        <v>59</v>
      </c>
      <c r="C270" t="s">
        <v>35</v>
      </c>
      <c r="D270" s="2">
        <v>5600</v>
      </c>
      <c r="E270" s="2">
        <v>32608</v>
      </c>
      <c r="F270" s="3">
        <v>62343</v>
      </c>
    </row>
    <row r="271" spans="1:6" x14ac:dyDescent="0.3">
      <c r="A271">
        <v>2020</v>
      </c>
      <c r="B271" t="s">
        <v>59</v>
      </c>
      <c r="C271" t="s">
        <v>36</v>
      </c>
      <c r="D271" s="2">
        <v>63948</v>
      </c>
      <c r="E271" s="2">
        <v>700031</v>
      </c>
      <c r="F271" s="3">
        <v>207014</v>
      </c>
    </row>
    <row r="272" spans="1:6" x14ac:dyDescent="0.3">
      <c r="A272">
        <v>2020</v>
      </c>
      <c r="B272" t="s">
        <v>59</v>
      </c>
      <c r="C272" t="s">
        <v>37</v>
      </c>
      <c r="D272" s="2">
        <v>30275</v>
      </c>
      <c r="E272" s="2">
        <v>251672</v>
      </c>
      <c r="F272" s="3">
        <v>97234</v>
      </c>
    </row>
    <row r="273" spans="1:6" x14ac:dyDescent="0.3">
      <c r="A273">
        <v>2020</v>
      </c>
      <c r="B273" t="s">
        <v>59</v>
      </c>
      <c r="C273" t="s">
        <v>38</v>
      </c>
      <c r="D273" s="2">
        <v>3042</v>
      </c>
      <c r="E273" s="2">
        <v>22496</v>
      </c>
      <c r="F273" s="3">
        <v>69243</v>
      </c>
    </row>
    <row r="274" spans="1:6" x14ac:dyDescent="0.3">
      <c r="A274">
        <v>2020</v>
      </c>
      <c r="B274" t="s">
        <v>59</v>
      </c>
      <c r="C274" t="s">
        <v>39</v>
      </c>
      <c r="D274" s="2">
        <v>29307</v>
      </c>
      <c r="E274" s="2">
        <v>287990</v>
      </c>
      <c r="F274" s="3">
        <v>82336</v>
      </c>
    </row>
    <row r="275" spans="1:6" x14ac:dyDescent="0.3">
      <c r="A275">
        <v>2020</v>
      </c>
      <c r="B275" t="s">
        <v>59</v>
      </c>
      <c r="C275" t="s">
        <v>40</v>
      </c>
      <c r="D275" s="2">
        <v>11701</v>
      </c>
      <c r="E275" s="2">
        <v>74614</v>
      </c>
      <c r="F275" s="3">
        <v>64030</v>
      </c>
    </row>
    <row r="276" spans="1:6" x14ac:dyDescent="0.3">
      <c r="A276">
        <v>2020</v>
      </c>
      <c r="B276" t="s">
        <v>59</v>
      </c>
      <c r="C276" t="s">
        <v>41</v>
      </c>
      <c r="D276" s="2">
        <v>13352</v>
      </c>
      <c r="E276" s="2">
        <v>83937</v>
      </c>
      <c r="F276" s="3">
        <v>80727</v>
      </c>
    </row>
    <row r="277" spans="1:6" x14ac:dyDescent="0.3">
      <c r="A277">
        <v>2020</v>
      </c>
      <c r="B277" t="s">
        <v>59</v>
      </c>
      <c r="C277" t="s">
        <v>42</v>
      </c>
      <c r="D277" s="2">
        <v>29714</v>
      </c>
      <c r="E277" s="2">
        <v>325571</v>
      </c>
      <c r="F277" s="3">
        <v>97231</v>
      </c>
    </row>
    <row r="278" spans="1:6" x14ac:dyDescent="0.3">
      <c r="A278">
        <v>2020</v>
      </c>
      <c r="B278" t="s">
        <v>59</v>
      </c>
      <c r="C278" t="s">
        <v>43</v>
      </c>
      <c r="D278" s="2">
        <v>3038</v>
      </c>
      <c r="E278" s="2">
        <v>31304</v>
      </c>
      <c r="F278" s="3">
        <v>100316</v>
      </c>
    </row>
    <row r="279" spans="1:6" x14ac:dyDescent="0.3">
      <c r="A279">
        <v>2020</v>
      </c>
      <c r="B279" t="s">
        <v>59</v>
      </c>
      <c r="C279" t="s">
        <v>44</v>
      </c>
      <c r="D279" s="2">
        <v>15078</v>
      </c>
      <c r="E279" s="2">
        <v>101637</v>
      </c>
      <c r="F279" s="3">
        <v>71361</v>
      </c>
    </row>
    <row r="280" spans="1:6" x14ac:dyDescent="0.3">
      <c r="A280">
        <v>2020</v>
      </c>
      <c r="B280" t="s">
        <v>59</v>
      </c>
      <c r="C280" t="s">
        <v>45</v>
      </c>
      <c r="D280" s="2">
        <v>3397</v>
      </c>
      <c r="E280" s="2">
        <v>27809</v>
      </c>
      <c r="F280" s="3">
        <v>69345</v>
      </c>
    </row>
    <row r="281" spans="1:6" x14ac:dyDescent="0.3">
      <c r="A281">
        <v>2020</v>
      </c>
      <c r="B281" t="s">
        <v>59</v>
      </c>
      <c r="C281" t="s">
        <v>46</v>
      </c>
      <c r="D281" s="2">
        <v>16893</v>
      </c>
      <c r="E281" s="2">
        <v>155926</v>
      </c>
      <c r="F281" s="3">
        <v>85116</v>
      </c>
    </row>
    <row r="282" spans="1:6" x14ac:dyDescent="0.3">
      <c r="A282">
        <v>2020</v>
      </c>
      <c r="B282" t="s">
        <v>59</v>
      </c>
      <c r="C282" t="s">
        <v>47</v>
      </c>
      <c r="D282" s="2">
        <v>78940</v>
      </c>
      <c r="E282" s="2">
        <v>778554</v>
      </c>
      <c r="F282" s="3">
        <v>92477</v>
      </c>
    </row>
    <row r="283" spans="1:6" x14ac:dyDescent="0.3">
      <c r="A283">
        <v>2020</v>
      </c>
      <c r="B283" t="s">
        <v>59</v>
      </c>
      <c r="C283" t="s">
        <v>48</v>
      </c>
      <c r="D283" s="2">
        <v>12580</v>
      </c>
      <c r="E283" s="2">
        <v>93379</v>
      </c>
      <c r="F283" s="3">
        <v>79806</v>
      </c>
    </row>
    <row r="284" spans="1:6" x14ac:dyDescent="0.3">
      <c r="A284">
        <v>2020</v>
      </c>
      <c r="B284" t="s">
        <v>59</v>
      </c>
      <c r="C284" t="s">
        <v>49</v>
      </c>
      <c r="D284" s="2">
        <v>1719</v>
      </c>
      <c r="E284" s="2">
        <v>11578</v>
      </c>
      <c r="F284" s="3">
        <v>80135</v>
      </c>
    </row>
    <row r="285" spans="1:6" x14ac:dyDescent="0.3">
      <c r="A285">
        <v>2020</v>
      </c>
      <c r="B285" t="s">
        <v>59</v>
      </c>
      <c r="C285" t="s">
        <v>50</v>
      </c>
      <c r="D285" s="2">
        <v>22750</v>
      </c>
      <c r="E285" s="2">
        <v>195671</v>
      </c>
      <c r="F285" s="3">
        <v>97246</v>
      </c>
    </row>
    <row r="286" spans="1:6" x14ac:dyDescent="0.3">
      <c r="A286">
        <v>2020</v>
      </c>
      <c r="B286" t="s">
        <v>59</v>
      </c>
      <c r="C286" t="s">
        <v>51</v>
      </c>
      <c r="D286" s="2">
        <v>18828</v>
      </c>
      <c r="E286" s="2">
        <v>147772</v>
      </c>
      <c r="F286" s="3">
        <v>95674</v>
      </c>
    </row>
    <row r="287" spans="1:6" x14ac:dyDescent="0.3">
      <c r="A287">
        <v>2020</v>
      </c>
      <c r="B287" t="s">
        <v>59</v>
      </c>
      <c r="C287" t="s">
        <v>52</v>
      </c>
      <c r="D287" s="2">
        <v>4042</v>
      </c>
      <c r="E287" s="2">
        <v>24190</v>
      </c>
      <c r="F287" s="3">
        <v>56764</v>
      </c>
    </row>
    <row r="288" spans="1:6" x14ac:dyDescent="0.3">
      <c r="A288">
        <v>2020</v>
      </c>
      <c r="B288" t="s">
        <v>59</v>
      </c>
      <c r="C288" t="s">
        <v>53</v>
      </c>
      <c r="D288" s="2">
        <v>14688</v>
      </c>
      <c r="E288" s="2">
        <v>148829</v>
      </c>
      <c r="F288" s="3">
        <v>80470</v>
      </c>
    </row>
    <row r="289" spans="1:6" x14ac:dyDescent="0.3">
      <c r="A289">
        <v>2020</v>
      </c>
      <c r="B289" t="s">
        <v>59</v>
      </c>
      <c r="C289" t="s">
        <v>54</v>
      </c>
      <c r="D289" s="2">
        <v>2353</v>
      </c>
      <c r="E289" s="2">
        <v>10919</v>
      </c>
      <c r="F289" s="3">
        <v>64480</v>
      </c>
    </row>
    <row r="290" spans="1:6" x14ac:dyDescent="0.3">
      <c r="A290">
        <v>2020</v>
      </c>
      <c r="B290" t="s">
        <v>60</v>
      </c>
      <c r="C290" t="s">
        <v>7</v>
      </c>
      <c r="D290" s="2">
        <v>22875</v>
      </c>
      <c r="E290" s="2">
        <v>242419</v>
      </c>
      <c r="F290" s="3">
        <v>62111</v>
      </c>
    </row>
    <row r="291" spans="1:6" x14ac:dyDescent="0.3">
      <c r="A291">
        <v>2020</v>
      </c>
      <c r="B291" t="s">
        <v>60</v>
      </c>
      <c r="C291" t="s">
        <v>8</v>
      </c>
      <c r="D291" s="2">
        <v>40867</v>
      </c>
      <c r="E291" s="2">
        <v>431379</v>
      </c>
      <c r="F291" s="3">
        <v>63180</v>
      </c>
    </row>
    <row r="292" spans="1:6" x14ac:dyDescent="0.3">
      <c r="A292">
        <v>2020</v>
      </c>
      <c r="B292" t="s">
        <v>60</v>
      </c>
      <c r="C292" t="s">
        <v>9</v>
      </c>
      <c r="D292" s="2">
        <v>15490</v>
      </c>
      <c r="E292" s="2">
        <v>139300</v>
      </c>
      <c r="F292" s="3">
        <v>68067</v>
      </c>
    </row>
    <row r="293" spans="1:6" x14ac:dyDescent="0.3">
      <c r="A293">
        <v>2020</v>
      </c>
      <c r="B293" t="s">
        <v>60</v>
      </c>
      <c r="C293" t="s">
        <v>10</v>
      </c>
      <c r="D293" s="2">
        <v>221985</v>
      </c>
      <c r="E293" s="2">
        <v>2600604</v>
      </c>
      <c r="F293" s="3">
        <v>106486</v>
      </c>
    </row>
    <row r="294" spans="1:6" x14ac:dyDescent="0.3">
      <c r="A294">
        <v>2020</v>
      </c>
      <c r="B294" t="s">
        <v>60</v>
      </c>
      <c r="C294" t="s">
        <v>11</v>
      </c>
      <c r="D294" s="2">
        <v>58286</v>
      </c>
      <c r="E294" s="2">
        <v>430367</v>
      </c>
      <c r="F294" s="3">
        <v>90744</v>
      </c>
    </row>
    <row r="295" spans="1:6" x14ac:dyDescent="0.3">
      <c r="A295">
        <v>2020</v>
      </c>
      <c r="B295" t="s">
        <v>60</v>
      </c>
      <c r="C295" t="s">
        <v>12</v>
      </c>
      <c r="D295" s="2">
        <v>24131</v>
      </c>
      <c r="E295" s="2">
        <v>206629</v>
      </c>
      <c r="F295" s="3">
        <v>95714</v>
      </c>
    </row>
    <row r="296" spans="1:6" x14ac:dyDescent="0.3">
      <c r="A296">
        <v>2020</v>
      </c>
      <c r="B296" t="s">
        <v>60</v>
      </c>
      <c r="C296" t="s">
        <v>13</v>
      </c>
      <c r="D296" s="2">
        <v>9766</v>
      </c>
      <c r="E296" s="2">
        <v>61669</v>
      </c>
      <c r="F296" s="3">
        <v>85651</v>
      </c>
    </row>
    <row r="297" spans="1:6" x14ac:dyDescent="0.3">
      <c r="A297">
        <v>2020</v>
      </c>
      <c r="B297" t="s">
        <v>60</v>
      </c>
      <c r="C297" t="s">
        <v>14</v>
      </c>
      <c r="D297" s="2">
        <v>179893</v>
      </c>
      <c r="E297" s="2">
        <v>1358317</v>
      </c>
      <c r="F297" s="3">
        <v>68223</v>
      </c>
    </row>
    <row r="298" spans="1:6" x14ac:dyDescent="0.3">
      <c r="A298">
        <v>2020</v>
      </c>
      <c r="B298" t="s">
        <v>60</v>
      </c>
      <c r="C298" t="s">
        <v>15</v>
      </c>
      <c r="D298" s="2">
        <v>60683</v>
      </c>
      <c r="E298" s="2">
        <v>692452</v>
      </c>
      <c r="F298" s="3">
        <v>76331</v>
      </c>
    </row>
    <row r="299" spans="1:6" x14ac:dyDescent="0.3">
      <c r="A299">
        <v>2020</v>
      </c>
      <c r="B299" t="s">
        <v>60</v>
      </c>
      <c r="C299" t="s">
        <v>16</v>
      </c>
      <c r="D299" s="2">
        <v>12911</v>
      </c>
      <c r="E299" s="2">
        <v>97097</v>
      </c>
      <c r="F299" s="3">
        <v>59743</v>
      </c>
    </row>
    <row r="300" spans="1:6" x14ac:dyDescent="0.3">
      <c r="A300">
        <v>2020</v>
      </c>
      <c r="B300" t="s">
        <v>60</v>
      </c>
      <c r="C300" t="s">
        <v>17</v>
      </c>
      <c r="D300" s="2">
        <v>75904</v>
      </c>
      <c r="E300" s="2">
        <v>892150</v>
      </c>
      <c r="F300" s="3">
        <v>83889</v>
      </c>
    </row>
    <row r="301" spans="1:6" x14ac:dyDescent="0.3">
      <c r="A301">
        <v>2020</v>
      </c>
      <c r="B301" t="s">
        <v>60</v>
      </c>
      <c r="C301" t="s">
        <v>18</v>
      </c>
      <c r="D301" s="2">
        <v>32143</v>
      </c>
      <c r="E301" s="2">
        <v>326745</v>
      </c>
      <c r="F301" s="3">
        <v>58578</v>
      </c>
    </row>
    <row r="302" spans="1:6" x14ac:dyDescent="0.3">
      <c r="A302">
        <v>2020</v>
      </c>
      <c r="B302" t="s">
        <v>60</v>
      </c>
      <c r="C302" t="s">
        <v>19</v>
      </c>
      <c r="D302" s="2">
        <v>16706</v>
      </c>
      <c r="E302" s="2">
        <v>134822</v>
      </c>
      <c r="F302" s="3">
        <v>61793</v>
      </c>
    </row>
    <row r="303" spans="1:6" x14ac:dyDescent="0.3">
      <c r="A303">
        <v>2020</v>
      </c>
      <c r="B303" t="s">
        <v>60</v>
      </c>
      <c r="C303" t="s">
        <v>20</v>
      </c>
      <c r="D303" s="2">
        <v>16823</v>
      </c>
      <c r="E303" s="2">
        <v>168813</v>
      </c>
      <c r="F303" s="3">
        <v>69538</v>
      </c>
    </row>
    <row r="304" spans="1:6" x14ac:dyDescent="0.3">
      <c r="A304">
        <v>2020</v>
      </c>
      <c r="B304" t="s">
        <v>60</v>
      </c>
      <c r="C304" t="s">
        <v>21</v>
      </c>
      <c r="D304" s="2">
        <v>22329</v>
      </c>
      <c r="E304" s="2">
        <v>207575</v>
      </c>
      <c r="F304" s="3">
        <v>55987</v>
      </c>
    </row>
    <row r="305" spans="1:6" x14ac:dyDescent="0.3">
      <c r="A305">
        <v>2020</v>
      </c>
      <c r="B305" t="s">
        <v>60</v>
      </c>
      <c r="C305" t="s">
        <v>22</v>
      </c>
      <c r="D305" s="2">
        <v>26262</v>
      </c>
      <c r="E305" s="2">
        <v>204729</v>
      </c>
      <c r="F305" s="3">
        <v>60136</v>
      </c>
    </row>
    <row r="306" spans="1:6" x14ac:dyDescent="0.3">
      <c r="A306">
        <v>2020</v>
      </c>
      <c r="B306" t="s">
        <v>60</v>
      </c>
      <c r="C306" t="s">
        <v>23</v>
      </c>
      <c r="D306" s="2">
        <v>11267</v>
      </c>
      <c r="E306" s="2">
        <v>68952</v>
      </c>
      <c r="F306" s="3">
        <v>66178</v>
      </c>
    </row>
    <row r="307" spans="1:6" x14ac:dyDescent="0.3">
      <c r="A307">
        <v>2020</v>
      </c>
      <c r="B307" t="s">
        <v>60</v>
      </c>
      <c r="C307" t="s">
        <v>24</v>
      </c>
      <c r="D307" s="2">
        <v>44172</v>
      </c>
      <c r="E307" s="2">
        <v>441860</v>
      </c>
      <c r="F307" s="3">
        <v>88391</v>
      </c>
    </row>
    <row r="308" spans="1:6" x14ac:dyDescent="0.3">
      <c r="A308">
        <v>2020</v>
      </c>
      <c r="B308" t="s">
        <v>60</v>
      </c>
      <c r="C308" t="s">
        <v>25</v>
      </c>
      <c r="D308" s="2">
        <v>48428</v>
      </c>
      <c r="E308" s="2">
        <v>583792</v>
      </c>
      <c r="F308" s="3">
        <v>124638</v>
      </c>
    </row>
    <row r="309" spans="1:6" x14ac:dyDescent="0.3">
      <c r="A309">
        <v>2020</v>
      </c>
      <c r="B309" t="s">
        <v>60</v>
      </c>
      <c r="C309" t="s">
        <v>26</v>
      </c>
      <c r="D309" s="2">
        <v>46269</v>
      </c>
      <c r="E309" s="2">
        <v>599657</v>
      </c>
      <c r="F309" s="3">
        <v>76432</v>
      </c>
    </row>
    <row r="310" spans="1:6" x14ac:dyDescent="0.3">
      <c r="A310">
        <v>2020</v>
      </c>
      <c r="B310" t="s">
        <v>60</v>
      </c>
      <c r="C310" t="s">
        <v>27</v>
      </c>
      <c r="D310" s="2">
        <v>33603</v>
      </c>
      <c r="E310" s="2">
        <v>361183</v>
      </c>
      <c r="F310" s="3">
        <v>91033</v>
      </c>
    </row>
    <row r="311" spans="1:6" x14ac:dyDescent="0.3">
      <c r="A311">
        <v>2020</v>
      </c>
      <c r="B311" t="s">
        <v>60</v>
      </c>
      <c r="C311" t="s">
        <v>28</v>
      </c>
      <c r="D311" s="2">
        <v>12692</v>
      </c>
      <c r="E311" s="2">
        <v>107758</v>
      </c>
      <c r="F311" s="3">
        <v>45573</v>
      </c>
    </row>
    <row r="312" spans="1:6" x14ac:dyDescent="0.3">
      <c r="A312">
        <v>2020</v>
      </c>
      <c r="B312" t="s">
        <v>60</v>
      </c>
      <c r="C312" t="s">
        <v>29</v>
      </c>
      <c r="D312" s="2">
        <v>36089</v>
      </c>
      <c r="E312" s="2">
        <v>365657</v>
      </c>
      <c r="F312" s="3">
        <v>72666</v>
      </c>
    </row>
    <row r="313" spans="1:6" x14ac:dyDescent="0.3">
      <c r="A313">
        <v>2020</v>
      </c>
      <c r="B313" t="s">
        <v>60</v>
      </c>
      <c r="C313" t="s">
        <v>30</v>
      </c>
      <c r="D313" s="2">
        <v>10331</v>
      </c>
      <c r="E313" s="2">
        <v>43549</v>
      </c>
      <c r="F313" s="3">
        <v>59785</v>
      </c>
    </row>
    <row r="314" spans="1:6" x14ac:dyDescent="0.3">
      <c r="A314">
        <v>2020</v>
      </c>
      <c r="B314" t="s">
        <v>60</v>
      </c>
      <c r="C314" t="s">
        <v>31</v>
      </c>
      <c r="D314" s="2">
        <v>11809</v>
      </c>
      <c r="E314" s="2">
        <v>117288</v>
      </c>
      <c r="F314" s="3">
        <v>65292</v>
      </c>
    </row>
    <row r="315" spans="1:6" x14ac:dyDescent="0.3">
      <c r="A315">
        <v>2020</v>
      </c>
      <c r="B315" t="s">
        <v>60</v>
      </c>
      <c r="C315" t="s">
        <v>32</v>
      </c>
      <c r="D315" s="2">
        <v>20046</v>
      </c>
      <c r="E315" s="2">
        <v>179092</v>
      </c>
      <c r="F315" s="3">
        <v>67081</v>
      </c>
    </row>
    <row r="316" spans="1:6" x14ac:dyDescent="0.3">
      <c r="A316">
        <v>2020</v>
      </c>
      <c r="B316" t="s">
        <v>60</v>
      </c>
      <c r="C316" t="s">
        <v>33</v>
      </c>
      <c r="D316" s="2">
        <v>13616</v>
      </c>
      <c r="E316" s="2">
        <v>81639</v>
      </c>
      <c r="F316" s="3">
        <v>88167</v>
      </c>
    </row>
    <row r="317" spans="1:6" x14ac:dyDescent="0.3">
      <c r="A317">
        <v>2020</v>
      </c>
      <c r="B317" t="s">
        <v>60</v>
      </c>
      <c r="C317" t="s">
        <v>34</v>
      </c>
      <c r="D317" s="2">
        <v>53304</v>
      </c>
      <c r="E317" s="2">
        <v>643507</v>
      </c>
      <c r="F317" s="3">
        <v>102666</v>
      </c>
    </row>
    <row r="318" spans="1:6" x14ac:dyDescent="0.3">
      <c r="A318">
        <v>2020</v>
      </c>
      <c r="B318" t="s">
        <v>60</v>
      </c>
      <c r="C318" t="s">
        <v>35</v>
      </c>
      <c r="D318" s="2">
        <v>11550</v>
      </c>
      <c r="E318" s="2">
        <v>107707</v>
      </c>
      <c r="F318" s="3">
        <v>69938</v>
      </c>
    </row>
    <row r="319" spans="1:6" x14ac:dyDescent="0.3">
      <c r="A319">
        <v>2020</v>
      </c>
      <c r="B319" t="s">
        <v>60</v>
      </c>
      <c r="C319" t="s">
        <v>36</v>
      </c>
      <c r="D319" s="2">
        <v>117347</v>
      </c>
      <c r="E319" s="2">
        <v>1242471</v>
      </c>
      <c r="F319" s="3">
        <v>109413</v>
      </c>
    </row>
    <row r="320" spans="1:6" x14ac:dyDescent="0.3">
      <c r="A320">
        <v>2020</v>
      </c>
      <c r="B320" t="s">
        <v>60</v>
      </c>
      <c r="C320" t="s">
        <v>37</v>
      </c>
      <c r="D320" s="2">
        <v>64843</v>
      </c>
      <c r="E320" s="2">
        <v>637719</v>
      </c>
      <c r="F320" s="3">
        <v>72078</v>
      </c>
    </row>
    <row r="321" spans="1:6" x14ac:dyDescent="0.3">
      <c r="A321">
        <v>2020</v>
      </c>
      <c r="B321" t="s">
        <v>60</v>
      </c>
      <c r="C321" t="s">
        <v>38</v>
      </c>
      <c r="D321" s="2">
        <v>5337</v>
      </c>
      <c r="E321" s="2">
        <v>31642</v>
      </c>
      <c r="F321" s="3">
        <v>65877</v>
      </c>
    </row>
    <row r="322" spans="1:6" x14ac:dyDescent="0.3">
      <c r="A322">
        <v>2020</v>
      </c>
      <c r="B322" t="s">
        <v>60</v>
      </c>
      <c r="C322" t="s">
        <v>39</v>
      </c>
      <c r="D322" s="2">
        <v>55987</v>
      </c>
      <c r="E322" s="2">
        <v>697244</v>
      </c>
      <c r="F322" s="3">
        <v>71920</v>
      </c>
    </row>
    <row r="323" spans="1:6" x14ac:dyDescent="0.3">
      <c r="A323">
        <v>2020</v>
      </c>
      <c r="B323" t="s">
        <v>60</v>
      </c>
      <c r="C323" t="s">
        <v>40</v>
      </c>
      <c r="D323" s="2">
        <v>21652</v>
      </c>
      <c r="E323" s="2">
        <v>185307</v>
      </c>
      <c r="F323" s="3">
        <v>58539</v>
      </c>
    </row>
    <row r="324" spans="1:6" x14ac:dyDescent="0.3">
      <c r="A324">
        <v>2020</v>
      </c>
      <c r="B324" t="s">
        <v>60</v>
      </c>
      <c r="C324" t="s">
        <v>41</v>
      </c>
      <c r="D324" s="2">
        <v>27033</v>
      </c>
      <c r="E324" s="2">
        <v>242218</v>
      </c>
      <c r="F324" s="3">
        <v>81224</v>
      </c>
    </row>
    <row r="325" spans="1:6" x14ac:dyDescent="0.3">
      <c r="A325">
        <v>2020</v>
      </c>
      <c r="B325" t="s">
        <v>60</v>
      </c>
      <c r="C325" t="s">
        <v>42</v>
      </c>
      <c r="D325" s="2">
        <v>66210</v>
      </c>
      <c r="E325" s="2">
        <v>766122</v>
      </c>
      <c r="F325" s="3">
        <v>86971</v>
      </c>
    </row>
    <row r="326" spans="1:6" x14ac:dyDescent="0.3">
      <c r="A326">
        <v>2020</v>
      </c>
      <c r="B326" t="s">
        <v>60</v>
      </c>
      <c r="C326" t="s">
        <v>43</v>
      </c>
      <c r="D326" s="2">
        <v>9567</v>
      </c>
      <c r="E326" s="2">
        <v>65232</v>
      </c>
      <c r="F326" s="3">
        <v>75829</v>
      </c>
    </row>
    <row r="327" spans="1:6" x14ac:dyDescent="0.3">
      <c r="A327">
        <v>2020</v>
      </c>
      <c r="B327" t="s">
        <v>60</v>
      </c>
      <c r="C327" t="s">
        <v>44</v>
      </c>
      <c r="D327" s="2">
        <v>30793</v>
      </c>
      <c r="E327" s="2">
        <v>281874</v>
      </c>
      <c r="F327" s="3">
        <v>56907</v>
      </c>
    </row>
    <row r="328" spans="1:6" x14ac:dyDescent="0.3">
      <c r="A328">
        <v>2020</v>
      </c>
      <c r="B328" t="s">
        <v>60</v>
      </c>
      <c r="C328" t="s">
        <v>45</v>
      </c>
      <c r="D328" s="2">
        <v>5876</v>
      </c>
      <c r="E328" s="2">
        <v>32771</v>
      </c>
      <c r="F328" s="3">
        <v>63709</v>
      </c>
    </row>
    <row r="329" spans="1:6" x14ac:dyDescent="0.3">
      <c r="A329">
        <v>2020</v>
      </c>
      <c r="B329" t="s">
        <v>60</v>
      </c>
      <c r="C329" t="s">
        <v>46</v>
      </c>
      <c r="D329" s="2">
        <v>32595</v>
      </c>
      <c r="E329" s="2">
        <v>414644</v>
      </c>
      <c r="F329" s="3">
        <v>66460</v>
      </c>
    </row>
    <row r="330" spans="1:6" x14ac:dyDescent="0.3">
      <c r="A330">
        <v>2020</v>
      </c>
      <c r="B330" t="s">
        <v>60</v>
      </c>
      <c r="C330" t="s">
        <v>47</v>
      </c>
      <c r="D330" s="2">
        <v>146639</v>
      </c>
      <c r="E330" s="2">
        <v>1758991</v>
      </c>
      <c r="F330" s="3">
        <v>81123</v>
      </c>
    </row>
    <row r="331" spans="1:6" x14ac:dyDescent="0.3">
      <c r="A331">
        <v>2020</v>
      </c>
      <c r="B331" t="s">
        <v>60</v>
      </c>
      <c r="C331" t="s">
        <v>48</v>
      </c>
      <c r="D331" s="2">
        <v>25941</v>
      </c>
      <c r="E331" s="2">
        <v>223284</v>
      </c>
      <c r="F331" s="3">
        <v>68355</v>
      </c>
    </row>
    <row r="332" spans="1:6" x14ac:dyDescent="0.3">
      <c r="A332">
        <v>2020</v>
      </c>
      <c r="B332" t="s">
        <v>60</v>
      </c>
      <c r="C332" t="s">
        <v>49</v>
      </c>
      <c r="D332" s="2">
        <v>6346</v>
      </c>
      <c r="E332" s="2">
        <v>28512</v>
      </c>
      <c r="F332" s="3">
        <v>74442</v>
      </c>
    </row>
    <row r="333" spans="1:6" x14ac:dyDescent="0.3">
      <c r="A333">
        <v>2020</v>
      </c>
      <c r="B333" t="s">
        <v>60</v>
      </c>
      <c r="C333" t="s">
        <v>50</v>
      </c>
      <c r="D333" s="2">
        <v>60099</v>
      </c>
      <c r="E333" s="2">
        <v>752090</v>
      </c>
      <c r="F333" s="3">
        <v>96046</v>
      </c>
    </row>
    <row r="334" spans="1:6" x14ac:dyDescent="0.3">
      <c r="A334">
        <v>2020</v>
      </c>
      <c r="B334" t="s">
        <v>60</v>
      </c>
      <c r="C334" t="s">
        <v>51</v>
      </c>
      <c r="D334" s="2">
        <v>43094</v>
      </c>
      <c r="E334" s="2">
        <v>415190</v>
      </c>
      <c r="F334" s="3">
        <v>92279</v>
      </c>
    </row>
    <row r="335" spans="1:6" x14ac:dyDescent="0.3">
      <c r="A335">
        <v>2020</v>
      </c>
      <c r="B335" t="s">
        <v>60</v>
      </c>
      <c r="C335" t="s">
        <v>52</v>
      </c>
      <c r="D335" s="2">
        <v>8599</v>
      </c>
      <c r="E335" s="2">
        <v>65715</v>
      </c>
      <c r="F335" s="3">
        <v>53557</v>
      </c>
    </row>
    <row r="336" spans="1:6" x14ac:dyDescent="0.3">
      <c r="A336">
        <v>2020</v>
      </c>
      <c r="B336" t="s">
        <v>60</v>
      </c>
      <c r="C336" t="s">
        <v>53</v>
      </c>
      <c r="D336" s="2">
        <v>27048</v>
      </c>
      <c r="E336" s="2">
        <v>309780</v>
      </c>
      <c r="F336" s="3">
        <v>67254</v>
      </c>
    </row>
    <row r="337" spans="1:6" x14ac:dyDescent="0.3">
      <c r="A337">
        <v>2020</v>
      </c>
      <c r="B337" t="s">
        <v>60</v>
      </c>
      <c r="C337" t="s">
        <v>54</v>
      </c>
      <c r="D337" s="2">
        <v>4986</v>
      </c>
      <c r="E337" s="2">
        <v>18382</v>
      </c>
      <c r="F337" s="3">
        <v>60233</v>
      </c>
    </row>
    <row r="338" spans="1:6" x14ac:dyDescent="0.3">
      <c r="A338">
        <v>2020</v>
      </c>
      <c r="B338" t="s">
        <v>61</v>
      </c>
      <c r="C338" t="s">
        <v>7</v>
      </c>
      <c r="D338" s="2">
        <v>15859</v>
      </c>
      <c r="E338" s="2">
        <v>228486</v>
      </c>
      <c r="F338" s="3">
        <v>51193</v>
      </c>
    </row>
    <row r="339" spans="1:6" x14ac:dyDescent="0.3">
      <c r="A339">
        <v>2020</v>
      </c>
      <c r="B339" t="s">
        <v>61</v>
      </c>
      <c r="C339" t="s">
        <v>8</v>
      </c>
      <c r="D339" s="2">
        <v>20727</v>
      </c>
      <c r="E339" s="2">
        <v>455356</v>
      </c>
      <c r="F339" s="3">
        <v>56159</v>
      </c>
    </row>
    <row r="340" spans="1:6" x14ac:dyDescent="0.3">
      <c r="A340">
        <v>2020</v>
      </c>
      <c r="B340" t="s">
        <v>61</v>
      </c>
      <c r="C340" t="s">
        <v>9</v>
      </c>
      <c r="D340" s="2">
        <v>15656</v>
      </c>
      <c r="E340" s="2">
        <v>181169</v>
      </c>
      <c r="F340" s="3">
        <v>47435</v>
      </c>
    </row>
    <row r="341" spans="1:6" x14ac:dyDescent="0.3">
      <c r="A341">
        <v>2020</v>
      </c>
      <c r="B341" t="s">
        <v>61</v>
      </c>
      <c r="C341" t="s">
        <v>10</v>
      </c>
      <c r="D341" s="2">
        <v>656765</v>
      </c>
      <c r="E341" s="2">
        <v>2651781</v>
      </c>
      <c r="F341" s="3">
        <v>57668</v>
      </c>
    </row>
    <row r="342" spans="1:6" x14ac:dyDescent="0.3">
      <c r="A342">
        <v>2020</v>
      </c>
      <c r="B342" t="s">
        <v>61</v>
      </c>
      <c r="C342" t="s">
        <v>11</v>
      </c>
      <c r="D342" s="2">
        <v>23475</v>
      </c>
      <c r="E342" s="2">
        <v>332209</v>
      </c>
      <c r="F342" s="3">
        <v>55198</v>
      </c>
    </row>
    <row r="343" spans="1:6" x14ac:dyDescent="0.3">
      <c r="A343">
        <v>2020</v>
      </c>
      <c r="B343" t="s">
        <v>61</v>
      </c>
      <c r="C343" t="s">
        <v>12</v>
      </c>
      <c r="D343" s="2">
        <v>19964</v>
      </c>
      <c r="E343" s="2">
        <v>319881</v>
      </c>
      <c r="F343" s="3">
        <v>61215</v>
      </c>
    </row>
    <row r="344" spans="1:6" x14ac:dyDescent="0.3">
      <c r="A344">
        <v>2020</v>
      </c>
      <c r="B344" t="s">
        <v>61</v>
      </c>
      <c r="C344" t="s">
        <v>13</v>
      </c>
      <c r="D344" s="2">
        <v>5522</v>
      </c>
      <c r="E344" s="2">
        <v>74184</v>
      </c>
      <c r="F344" s="3">
        <v>57470</v>
      </c>
    </row>
    <row r="345" spans="1:6" x14ac:dyDescent="0.3">
      <c r="A345">
        <v>2020</v>
      </c>
      <c r="B345" t="s">
        <v>61</v>
      </c>
      <c r="C345" t="s">
        <v>14</v>
      </c>
      <c r="D345" s="2">
        <v>85058</v>
      </c>
      <c r="E345" s="2">
        <v>1293582</v>
      </c>
      <c r="F345" s="3">
        <v>55114</v>
      </c>
    </row>
    <row r="346" spans="1:6" x14ac:dyDescent="0.3">
      <c r="A346">
        <v>2020</v>
      </c>
      <c r="B346" t="s">
        <v>61</v>
      </c>
      <c r="C346" t="s">
        <v>15</v>
      </c>
      <c r="D346" s="2">
        <v>31842</v>
      </c>
      <c r="E346" s="2">
        <v>561390</v>
      </c>
      <c r="F346" s="3">
        <v>57141</v>
      </c>
    </row>
    <row r="347" spans="1:6" x14ac:dyDescent="0.3">
      <c r="A347">
        <v>2020</v>
      </c>
      <c r="B347" t="s">
        <v>61</v>
      </c>
      <c r="C347" t="s">
        <v>16</v>
      </c>
      <c r="D347" s="2">
        <v>9128</v>
      </c>
      <c r="E347" s="2">
        <v>106752</v>
      </c>
      <c r="F347" s="3">
        <v>45479</v>
      </c>
    </row>
    <row r="348" spans="1:6" x14ac:dyDescent="0.3">
      <c r="A348">
        <v>2020</v>
      </c>
      <c r="B348" t="s">
        <v>61</v>
      </c>
      <c r="C348" t="s">
        <v>17</v>
      </c>
      <c r="D348" s="2">
        <v>39684</v>
      </c>
      <c r="E348" s="2">
        <v>882088</v>
      </c>
      <c r="F348" s="3">
        <v>55678</v>
      </c>
    </row>
    <row r="349" spans="1:6" x14ac:dyDescent="0.3">
      <c r="A349">
        <v>2020</v>
      </c>
      <c r="B349" t="s">
        <v>61</v>
      </c>
      <c r="C349" t="s">
        <v>18</v>
      </c>
      <c r="D349" s="2">
        <v>16899</v>
      </c>
      <c r="E349" s="2">
        <v>451743</v>
      </c>
      <c r="F349" s="3">
        <v>52802</v>
      </c>
    </row>
    <row r="350" spans="1:6" x14ac:dyDescent="0.3">
      <c r="A350">
        <v>2020</v>
      </c>
      <c r="B350" t="s">
        <v>61</v>
      </c>
      <c r="C350" t="s">
        <v>19</v>
      </c>
      <c r="D350" s="2">
        <v>13294</v>
      </c>
      <c r="E350" s="2">
        <v>209301</v>
      </c>
      <c r="F350" s="3">
        <v>47222</v>
      </c>
    </row>
    <row r="351" spans="1:6" x14ac:dyDescent="0.3">
      <c r="A351">
        <v>2020</v>
      </c>
      <c r="B351" t="s">
        <v>61</v>
      </c>
      <c r="C351" t="s">
        <v>20</v>
      </c>
      <c r="D351" s="2">
        <v>10330</v>
      </c>
      <c r="E351" s="2">
        <v>194569</v>
      </c>
      <c r="F351" s="3">
        <v>48486</v>
      </c>
    </row>
    <row r="352" spans="1:6" x14ac:dyDescent="0.3">
      <c r="A352">
        <v>2020</v>
      </c>
      <c r="B352" t="s">
        <v>61</v>
      </c>
      <c r="C352" t="s">
        <v>21</v>
      </c>
      <c r="D352" s="2">
        <v>20809</v>
      </c>
      <c r="E352" s="2">
        <v>263195</v>
      </c>
      <c r="F352" s="3">
        <v>52098</v>
      </c>
    </row>
    <row r="353" spans="1:6" x14ac:dyDescent="0.3">
      <c r="A353">
        <v>2020</v>
      </c>
      <c r="B353" t="s">
        <v>61</v>
      </c>
      <c r="C353" t="s">
        <v>22</v>
      </c>
      <c r="D353" s="2">
        <v>16834</v>
      </c>
      <c r="E353" s="2">
        <v>296324</v>
      </c>
      <c r="F353" s="3">
        <v>48222</v>
      </c>
    </row>
    <row r="354" spans="1:6" x14ac:dyDescent="0.3">
      <c r="A354">
        <v>2020</v>
      </c>
      <c r="B354" t="s">
        <v>61</v>
      </c>
      <c r="C354" t="s">
        <v>23</v>
      </c>
      <c r="D354" s="2">
        <v>5591</v>
      </c>
      <c r="E354" s="2">
        <v>115511</v>
      </c>
      <c r="F354" s="3">
        <v>53739</v>
      </c>
    </row>
    <row r="355" spans="1:6" x14ac:dyDescent="0.3">
      <c r="A355">
        <v>2020</v>
      </c>
      <c r="B355" t="s">
        <v>61</v>
      </c>
      <c r="C355" t="s">
        <v>24</v>
      </c>
      <c r="D355" s="2">
        <v>21505</v>
      </c>
      <c r="E355" s="2">
        <v>420463</v>
      </c>
      <c r="F355" s="3">
        <v>59854</v>
      </c>
    </row>
    <row r="356" spans="1:6" x14ac:dyDescent="0.3">
      <c r="A356">
        <v>2020</v>
      </c>
      <c r="B356" t="s">
        <v>61</v>
      </c>
      <c r="C356" t="s">
        <v>25</v>
      </c>
      <c r="D356" s="2">
        <v>71270</v>
      </c>
      <c r="E356" s="2">
        <v>742606</v>
      </c>
      <c r="F356" s="3">
        <v>64556</v>
      </c>
    </row>
    <row r="357" spans="1:6" x14ac:dyDescent="0.3">
      <c r="A357">
        <v>2020</v>
      </c>
      <c r="B357" t="s">
        <v>61</v>
      </c>
      <c r="C357" t="s">
        <v>26</v>
      </c>
      <c r="D357" s="2">
        <v>32965</v>
      </c>
      <c r="E357" s="2">
        <v>622119</v>
      </c>
      <c r="F357" s="3">
        <v>54163</v>
      </c>
    </row>
    <row r="358" spans="1:6" x14ac:dyDescent="0.3">
      <c r="A358">
        <v>2020</v>
      </c>
      <c r="B358" t="s">
        <v>61</v>
      </c>
      <c r="C358" t="s">
        <v>27</v>
      </c>
      <c r="D358" s="2">
        <v>22985</v>
      </c>
      <c r="E358" s="2">
        <v>513228</v>
      </c>
      <c r="F358" s="3">
        <v>55127</v>
      </c>
    </row>
    <row r="359" spans="1:6" x14ac:dyDescent="0.3">
      <c r="A359">
        <v>2020</v>
      </c>
      <c r="B359" t="s">
        <v>61</v>
      </c>
      <c r="C359" t="s">
        <v>28</v>
      </c>
      <c r="D359" s="2">
        <v>7693</v>
      </c>
      <c r="E359" s="2">
        <v>138876</v>
      </c>
      <c r="F359" s="3">
        <v>45670</v>
      </c>
    </row>
    <row r="360" spans="1:6" x14ac:dyDescent="0.3">
      <c r="A360">
        <v>2020</v>
      </c>
      <c r="B360" t="s">
        <v>61</v>
      </c>
      <c r="C360" t="s">
        <v>29</v>
      </c>
      <c r="D360" s="2">
        <v>56134</v>
      </c>
      <c r="E360" s="2">
        <v>448355</v>
      </c>
      <c r="F360" s="3">
        <v>50460</v>
      </c>
    </row>
    <row r="361" spans="1:6" x14ac:dyDescent="0.3">
      <c r="A361">
        <v>2020</v>
      </c>
      <c r="B361" t="s">
        <v>61</v>
      </c>
      <c r="C361" t="s">
        <v>30</v>
      </c>
      <c r="D361" s="2">
        <v>5112</v>
      </c>
      <c r="E361" s="2">
        <v>73374</v>
      </c>
      <c r="F361" s="3">
        <v>52612</v>
      </c>
    </row>
    <row r="362" spans="1:6" x14ac:dyDescent="0.3">
      <c r="A362">
        <v>2020</v>
      </c>
      <c r="B362" t="s">
        <v>61</v>
      </c>
      <c r="C362" t="s">
        <v>31</v>
      </c>
      <c r="D362" s="2">
        <v>10522</v>
      </c>
      <c r="E362" s="2">
        <v>135205</v>
      </c>
      <c r="F362" s="3">
        <v>51740</v>
      </c>
    </row>
    <row r="363" spans="1:6" x14ac:dyDescent="0.3">
      <c r="A363">
        <v>2020</v>
      </c>
      <c r="B363" t="s">
        <v>61</v>
      </c>
      <c r="C363" t="s">
        <v>32</v>
      </c>
      <c r="D363" s="2">
        <v>9126</v>
      </c>
      <c r="E363" s="2">
        <v>139696</v>
      </c>
      <c r="F363" s="3">
        <v>58047</v>
      </c>
    </row>
    <row r="364" spans="1:6" x14ac:dyDescent="0.3">
      <c r="A364">
        <v>2020</v>
      </c>
      <c r="B364" t="s">
        <v>61</v>
      </c>
      <c r="C364" t="s">
        <v>33</v>
      </c>
      <c r="D364" s="2">
        <v>4900</v>
      </c>
      <c r="E364" s="2">
        <v>108757</v>
      </c>
      <c r="F364" s="3">
        <v>63675</v>
      </c>
    </row>
    <row r="365" spans="1:6" x14ac:dyDescent="0.3">
      <c r="A365">
        <v>2020</v>
      </c>
      <c r="B365" t="s">
        <v>61</v>
      </c>
      <c r="C365" t="s">
        <v>34</v>
      </c>
      <c r="D365" s="2">
        <v>43568</v>
      </c>
      <c r="E365" s="2">
        <v>622420</v>
      </c>
      <c r="F365" s="3">
        <v>60044</v>
      </c>
    </row>
    <row r="366" spans="1:6" x14ac:dyDescent="0.3">
      <c r="A366">
        <v>2020</v>
      </c>
      <c r="B366" t="s">
        <v>61</v>
      </c>
      <c r="C366" t="s">
        <v>35</v>
      </c>
      <c r="D366" s="2">
        <v>11448</v>
      </c>
      <c r="E366" s="2">
        <v>126459</v>
      </c>
      <c r="F366" s="3">
        <v>45191</v>
      </c>
    </row>
    <row r="367" spans="1:6" x14ac:dyDescent="0.3">
      <c r="A367">
        <v>2020</v>
      </c>
      <c r="B367" t="s">
        <v>61</v>
      </c>
      <c r="C367" t="s">
        <v>36</v>
      </c>
      <c r="D367" s="2">
        <v>67893</v>
      </c>
      <c r="E367" s="2">
        <v>1872526</v>
      </c>
      <c r="F367" s="3">
        <v>58936</v>
      </c>
    </row>
    <row r="368" spans="1:6" x14ac:dyDescent="0.3">
      <c r="A368">
        <v>2020</v>
      </c>
      <c r="B368" t="s">
        <v>61</v>
      </c>
      <c r="C368" t="s">
        <v>37</v>
      </c>
      <c r="D368" s="2">
        <v>29514</v>
      </c>
      <c r="E368" s="2">
        <v>584896</v>
      </c>
      <c r="F368" s="3">
        <v>53252</v>
      </c>
    </row>
    <row r="369" spans="1:6" x14ac:dyDescent="0.3">
      <c r="A369">
        <v>2020</v>
      </c>
      <c r="B369" t="s">
        <v>61</v>
      </c>
      <c r="C369" t="s">
        <v>38</v>
      </c>
      <c r="D369" s="2">
        <v>2737</v>
      </c>
      <c r="E369" s="2">
        <v>64418</v>
      </c>
      <c r="F369" s="3">
        <v>55234</v>
      </c>
    </row>
    <row r="370" spans="1:6" x14ac:dyDescent="0.3">
      <c r="A370">
        <v>2020</v>
      </c>
      <c r="B370" t="s">
        <v>61</v>
      </c>
      <c r="C370" t="s">
        <v>39</v>
      </c>
      <c r="D370" s="2">
        <v>35930</v>
      </c>
      <c r="E370" s="2">
        <v>868191</v>
      </c>
      <c r="F370" s="3">
        <v>51366</v>
      </c>
    </row>
    <row r="371" spans="1:6" x14ac:dyDescent="0.3">
      <c r="A371">
        <v>2020</v>
      </c>
      <c r="B371" t="s">
        <v>61</v>
      </c>
      <c r="C371" t="s">
        <v>40</v>
      </c>
      <c r="D371" s="2">
        <v>13656</v>
      </c>
      <c r="E371" s="2">
        <v>209679</v>
      </c>
      <c r="F371" s="3">
        <v>49095</v>
      </c>
    </row>
    <row r="372" spans="1:6" x14ac:dyDescent="0.3">
      <c r="A372">
        <v>2020</v>
      </c>
      <c r="B372" t="s">
        <v>61</v>
      </c>
      <c r="C372" t="s">
        <v>41</v>
      </c>
      <c r="D372" s="2">
        <v>28106</v>
      </c>
      <c r="E372" s="2">
        <v>292631</v>
      </c>
      <c r="F372" s="3">
        <v>54216</v>
      </c>
    </row>
    <row r="373" spans="1:6" x14ac:dyDescent="0.3">
      <c r="A373">
        <v>2020</v>
      </c>
      <c r="B373" t="s">
        <v>61</v>
      </c>
      <c r="C373" t="s">
        <v>42</v>
      </c>
      <c r="D373" s="2">
        <v>57935</v>
      </c>
      <c r="E373" s="2">
        <v>1179840</v>
      </c>
      <c r="F373" s="3">
        <v>57087</v>
      </c>
    </row>
    <row r="374" spans="1:6" x14ac:dyDescent="0.3">
      <c r="A374">
        <v>2020</v>
      </c>
      <c r="B374" t="s">
        <v>61</v>
      </c>
      <c r="C374" t="s">
        <v>43</v>
      </c>
      <c r="D374" s="2">
        <v>4907</v>
      </c>
      <c r="E374" s="2">
        <v>95079</v>
      </c>
      <c r="F374" s="3">
        <v>54510</v>
      </c>
    </row>
    <row r="375" spans="1:6" x14ac:dyDescent="0.3">
      <c r="A375">
        <v>2020</v>
      </c>
      <c r="B375" t="s">
        <v>61</v>
      </c>
      <c r="C375" t="s">
        <v>44</v>
      </c>
      <c r="D375" s="2">
        <v>15612</v>
      </c>
      <c r="E375" s="2">
        <v>231072</v>
      </c>
      <c r="F375" s="3">
        <v>50055</v>
      </c>
    </row>
    <row r="376" spans="1:6" x14ac:dyDescent="0.3">
      <c r="A376">
        <v>2020</v>
      </c>
      <c r="B376" t="s">
        <v>61</v>
      </c>
      <c r="C376" t="s">
        <v>45</v>
      </c>
      <c r="D376" s="2">
        <v>2934</v>
      </c>
      <c r="E376" s="2">
        <v>68990</v>
      </c>
      <c r="F376" s="3">
        <v>57054</v>
      </c>
    </row>
    <row r="377" spans="1:6" x14ac:dyDescent="0.3">
      <c r="A377">
        <v>2020</v>
      </c>
      <c r="B377" t="s">
        <v>61</v>
      </c>
      <c r="C377" t="s">
        <v>46</v>
      </c>
      <c r="D377" s="2">
        <v>21213</v>
      </c>
      <c r="E377" s="2">
        <v>421097</v>
      </c>
      <c r="F377" s="3">
        <v>56401</v>
      </c>
    </row>
    <row r="378" spans="1:6" x14ac:dyDescent="0.3">
      <c r="A378">
        <v>2020</v>
      </c>
      <c r="B378" t="s">
        <v>61</v>
      </c>
      <c r="C378" t="s">
        <v>47</v>
      </c>
      <c r="D378" s="2">
        <v>98681</v>
      </c>
      <c r="E378" s="2">
        <v>1646144</v>
      </c>
      <c r="F378" s="3">
        <v>51856</v>
      </c>
    </row>
    <row r="379" spans="1:6" x14ac:dyDescent="0.3">
      <c r="A379">
        <v>2020</v>
      </c>
      <c r="B379" t="s">
        <v>61</v>
      </c>
      <c r="C379" t="s">
        <v>48</v>
      </c>
      <c r="D379" s="2">
        <v>13463</v>
      </c>
      <c r="E379" s="2">
        <v>193157</v>
      </c>
      <c r="F379" s="3">
        <v>48260</v>
      </c>
    </row>
    <row r="380" spans="1:6" x14ac:dyDescent="0.3">
      <c r="A380">
        <v>2020</v>
      </c>
      <c r="B380" t="s">
        <v>61</v>
      </c>
      <c r="C380" t="s">
        <v>49</v>
      </c>
      <c r="D380" s="2">
        <v>2516</v>
      </c>
      <c r="E380" s="2">
        <v>58443</v>
      </c>
      <c r="F380" s="3">
        <v>52779</v>
      </c>
    </row>
    <row r="381" spans="1:6" x14ac:dyDescent="0.3">
      <c r="A381">
        <v>2020</v>
      </c>
      <c r="B381" t="s">
        <v>61</v>
      </c>
      <c r="C381" t="s">
        <v>50</v>
      </c>
      <c r="D381" s="2">
        <v>49705</v>
      </c>
      <c r="E381" s="2">
        <v>492598</v>
      </c>
      <c r="F381" s="3">
        <v>54119</v>
      </c>
    </row>
    <row r="382" spans="1:6" x14ac:dyDescent="0.3">
      <c r="A382">
        <v>2020</v>
      </c>
      <c r="B382" t="s">
        <v>61</v>
      </c>
      <c r="C382" t="s">
        <v>51</v>
      </c>
      <c r="D382" s="2">
        <v>74944</v>
      </c>
      <c r="E382" s="2">
        <v>468495</v>
      </c>
      <c r="F382" s="3">
        <v>55544</v>
      </c>
    </row>
    <row r="383" spans="1:6" x14ac:dyDescent="0.3">
      <c r="A383">
        <v>2020</v>
      </c>
      <c r="B383" t="s">
        <v>61</v>
      </c>
      <c r="C383" t="s">
        <v>52</v>
      </c>
      <c r="D383" s="2">
        <v>8500</v>
      </c>
      <c r="E383" s="2">
        <v>124604</v>
      </c>
      <c r="F383" s="3">
        <v>50597</v>
      </c>
    </row>
    <row r="384" spans="1:6" x14ac:dyDescent="0.3">
      <c r="A384">
        <v>2020</v>
      </c>
      <c r="B384" t="s">
        <v>61</v>
      </c>
      <c r="C384" t="s">
        <v>53</v>
      </c>
      <c r="D384" s="2">
        <v>31125</v>
      </c>
      <c r="E384" s="2">
        <v>427152</v>
      </c>
      <c r="F384" s="3">
        <v>52993</v>
      </c>
    </row>
    <row r="385" spans="1:6" x14ac:dyDescent="0.3">
      <c r="A385">
        <v>2020</v>
      </c>
      <c r="B385" t="s">
        <v>61</v>
      </c>
      <c r="C385" t="s">
        <v>54</v>
      </c>
      <c r="D385" s="2">
        <v>3485</v>
      </c>
      <c r="E385" s="2">
        <v>26942</v>
      </c>
      <c r="F385" s="3">
        <v>46334</v>
      </c>
    </row>
    <row r="386" spans="1:6" x14ac:dyDescent="0.3">
      <c r="A386">
        <v>2020</v>
      </c>
      <c r="B386" t="s">
        <v>62</v>
      </c>
      <c r="C386" t="s">
        <v>7</v>
      </c>
      <c r="D386" s="2">
        <v>11221</v>
      </c>
      <c r="E386" s="2">
        <v>178057</v>
      </c>
      <c r="F386" s="3">
        <v>18554</v>
      </c>
    </row>
    <row r="387" spans="1:6" x14ac:dyDescent="0.3">
      <c r="A387">
        <v>2020</v>
      </c>
      <c r="B387" t="s">
        <v>62</v>
      </c>
      <c r="C387" t="s">
        <v>8</v>
      </c>
      <c r="D387" s="2">
        <v>14444</v>
      </c>
      <c r="E387" s="2">
        <v>274985</v>
      </c>
      <c r="F387" s="3">
        <v>26810</v>
      </c>
    </row>
    <row r="388" spans="1:6" x14ac:dyDescent="0.3">
      <c r="A388">
        <v>2020</v>
      </c>
      <c r="B388" t="s">
        <v>62</v>
      </c>
      <c r="C388" t="s">
        <v>9</v>
      </c>
      <c r="D388" s="2">
        <v>7458</v>
      </c>
      <c r="E388" s="2">
        <v>106295</v>
      </c>
      <c r="F388" s="3">
        <v>18414</v>
      </c>
    </row>
    <row r="389" spans="1:6" x14ac:dyDescent="0.3">
      <c r="A389">
        <v>2020</v>
      </c>
      <c r="B389" t="s">
        <v>62</v>
      </c>
      <c r="C389" t="s">
        <v>10</v>
      </c>
      <c r="D389" s="2">
        <v>117833</v>
      </c>
      <c r="E389" s="2">
        <v>1482600</v>
      </c>
      <c r="F389" s="3">
        <v>36090</v>
      </c>
    </row>
    <row r="390" spans="1:6" x14ac:dyDescent="0.3">
      <c r="A390">
        <v>2020</v>
      </c>
      <c r="B390" t="s">
        <v>62</v>
      </c>
      <c r="C390" t="s">
        <v>11</v>
      </c>
      <c r="D390" s="2">
        <v>17650</v>
      </c>
      <c r="E390" s="2">
        <v>271680</v>
      </c>
      <c r="F390" s="3">
        <v>28424</v>
      </c>
    </row>
    <row r="391" spans="1:6" x14ac:dyDescent="0.3">
      <c r="A391">
        <v>2020</v>
      </c>
      <c r="B391" t="s">
        <v>62</v>
      </c>
      <c r="C391" t="s">
        <v>12</v>
      </c>
      <c r="D391" s="2">
        <v>10916</v>
      </c>
      <c r="E391" s="2">
        <v>117365</v>
      </c>
      <c r="F391" s="3">
        <v>26295</v>
      </c>
    </row>
    <row r="392" spans="1:6" x14ac:dyDescent="0.3">
      <c r="A392">
        <v>2020</v>
      </c>
      <c r="B392" t="s">
        <v>62</v>
      </c>
      <c r="C392" t="s">
        <v>13</v>
      </c>
      <c r="D392" s="2">
        <v>2698</v>
      </c>
      <c r="E392" s="2">
        <v>41103</v>
      </c>
      <c r="F392" s="3">
        <v>22228</v>
      </c>
    </row>
    <row r="393" spans="1:6" x14ac:dyDescent="0.3">
      <c r="A393">
        <v>2020</v>
      </c>
      <c r="B393" t="s">
        <v>62</v>
      </c>
      <c r="C393" t="s">
        <v>14</v>
      </c>
      <c r="D393" s="2">
        <v>59645</v>
      </c>
      <c r="E393" s="2">
        <v>1007574</v>
      </c>
      <c r="F393" s="3">
        <v>27709</v>
      </c>
    </row>
    <row r="394" spans="1:6" x14ac:dyDescent="0.3">
      <c r="A394">
        <v>2020</v>
      </c>
      <c r="B394" t="s">
        <v>62</v>
      </c>
      <c r="C394" t="s">
        <v>15</v>
      </c>
      <c r="D394" s="2">
        <v>26741</v>
      </c>
      <c r="E394" s="2">
        <v>414059</v>
      </c>
      <c r="F394" s="3">
        <v>22009</v>
      </c>
    </row>
    <row r="395" spans="1:6" x14ac:dyDescent="0.3">
      <c r="A395">
        <v>2020</v>
      </c>
      <c r="B395" t="s">
        <v>62</v>
      </c>
      <c r="C395" t="s">
        <v>16</v>
      </c>
      <c r="D395" s="2">
        <v>5242</v>
      </c>
      <c r="E395" s="2">
        <v>74574</v>
      </c>
      <c r="F395" s="3">
        <v>18637</v>
      </c>
    </row>
    <row r="396" spans="1:6" x14ac:dyDescent="0.3">
      <c r="A396">
        <v>2020</v>
      </c>
      <c r="B396" t="s">
        <v>62</v>
      </c>
      <c r="C396" t="s">
        <v>17</v>
      </c>
      <c r="D396" s="2">
        <v>32842</v>
      </c>
      <c r="E396" s="2">
        <v>462216</v>
      </c>
      <c r="F396" s="3">
        <v>25054</v>
      </c>
    </row>
    <row r="397" spans="1:6" x14ac:dyDescent="0.3">
      <c r="A397">
        <v>2020</v>
      </c>
      <c r="B397" t="s">
        <v>62</v>
      </c>
      <c r="C397" t="s">
        <v>18</v>
      </c>
      <c r="D397" s="2">
        <v>16068</v>
      </c>
      <c r="E397" s="2">
        <v>263892</v>
      </c>
      <c r="F397" s="3">
        <v>20493</v>
      </c>
    </row>
    <row r="398" spans="1:6" x14ac:dyDescent="0.3">
      <c r="A398">
        <v>2020</v>
      </c>
      <c r="B398" t="s">
        <v>62</v>
      </c>
      <c r="C398" t="s">
        <v>19</v>
      </c>
      <c r="D398" s="2">
        <v>8734</v>
      </c>
      <c r="E398" s="2">
        <v>118383</v>
      </c>
      <c r="F398" s="3">
        <v>18002</v>
      </c>
    </row>
    <row r="399" spans="1:6" x14ac:dyDescent="0.3">
      <c r="A399">
        <v>2020</v>
      </c>
      <c r="B399" t="s">
        <v>62</v>
      </c>
      <c r="C399" t="s">
        <v>20</v>
      </c>
      <c r="D399" s="2">
        <v>6792</v>
      </c>
      <c r="E399" s="2">
        <v>110526</v>
      </c>
      <c r="F399" s="3">
        <v>18088</v>
      </c>
    </row>
    <row r="400" spans="1:6" x14ac:dyDescent="0.3">
      <c r="A400">
        <v>2020</v>
      </c>
      <c r="B400" t="s">
        <v>62</v>
      </c>
      <c r="C400" t="s">
        <v>21</v>
      </c>
      <c r="D400" s="2">
        <v>10331</v>
      </c>
      <c r="E400" s="2">
        <v>165335</v>
      </c>
      <c r="F400" s="3">
        <v>19522</v>
      </c>
    </row>
    <row r="401" spans="1:6" x14ac:dyDescent="0.3">
      <c r="A401">
        <v>2020</v>
      </c>
      <c r="B401" t="s">
        <v>62</v>
      </c>
      <c r="C401" t="s">
        <v>22</v>
      </c>
      <c r="D401" s="2">
        <v>13351</v>
      </c>
      <c r="E401" s="2">
        <v>188383</v>
      </c>
      <c r="F401" s="3">
        <v>22216</v>
      </c>
    </row>
    <row r="402" spans="1:6" x14ac:dyDescent="0.3">
      <c r="A402">
        <v>2020</v>
      </c>
      <c r="B402" t="s">
        <v>62</v>
      </c>
      <c r="C402" t="s">
        <v>23</v>
      </c>
      <c r="D402" s="2">
        <v>5172</v>
      </c>
      <c r="E402" s="2">
        <v>51781</v>
      </c>
      <c r="F402" s="3">
        <v>25112</v>
      </c>
    </row>
    <row r="403" spans="1:6" x14ac:dyDescent="0.3">
      <c r="A403">
        <v>2020</v>
      </c>
      <c r="B403" t="s">
        <v>62</v>
      </c>
      <c r="C403" t="s">
        <v>24</v>
      </c>
      <c r="D403" s="2">
        <v>14823</v>
      </c>
      <c r="E403" s="2">
        <v>210848</v>
      </c>
      <c r="F403" s="3">
        <v>26383</v>
      </c>
    </row>
    <row r="404" spans="1:6" x14ac:dyDescent="0.3">
      <c r="A404">
        <v>2020</v>
      </c>
      <c r="B404" t="s">
        <v>62</v>
      </c>
      <c r="C404" t="s">
        <v>25</v>
      </c>
      <c r="D404" s="2">
        <v>20158</v>
      </c>
      <c r="E404" s="2">
        <v>262049</v>
      </c>
      <c r="F404" s="3">
        <v>30457</v>
      </c>
    </row>
    <row r="405" spans="1:6" x14ac:dyDescent="0.3">
      <c r="A405">
        <v>2020</v>
      </c>
      <c r="B405" t="s">
        <v>62</v>
      </c>
      <c r="C405" t="s">
        <v>26</v>
      </c>
      <c r="D405" s="2">
        <v>23032</v>
      </c>
      <c r="E405" s="2">
        <v>323435</v>
      </c>
      <c r="F405" s="3">
        <v>22254</v>
      </c>
    </row>
    <row r="406" spans="1:6" x14ac:dyDescent="0.3">
      <c r="A406">
        <v>2020</v>
      </c>
      <c r="B406" t="s">
        <v>62</v>
      </c>
      <c r="C406" t="s">
        <v>27</v>
      </c>
      <c r="D406" s="2">
        <v>15355</v>
      </c>
      <c r="E406" s="2">
        <v>204519</v>
      </c>
      <c r="F406" s="3">
        <v>24167</v>
      </c>
    </row>
    <row r="407" spans="1:6" x14ac:dyDescent="0.3">
      <c r="A407">
        <v>2020</v>
      </c>
      <c r="B407" t="s">
        <v>62</v>
      </c>
      <c r="C407" t="s">
        <v>28</v>
      </c>
      <c r="D407" s="2">
        <v>6644</v>
      </c>
      <c r="E407" s="2">
        <v>118107</v>
      </c>
      <c r="F407" s="3">
        <v>18380</v>
      </c>
    </row>
    <row r="408" spans="1:6" x14ac:dyDescent="0.3">
      <c r="A408">
        <v>2020</v>
      </c>
      <c r="B408" t="s">
        <v>62</v>
      </c>
      <c r="C408" t="s">
        <v>29</v>
      </c>
      <c r="D408" s="2">
        <v>15398</v>
      </c>
      <c r="E408" s="2">
        <v>253244</v>
      </c>
      <c r="F408" s="3">
        <v>22154</v>
      </c>
    </row>
    <row r="409" spans="1:6" x14ac:dyDescent="0.3">
      <c r="A409">
        <v>2020</v>
      </c>
      <c r="B409" t="s">
        <v>62</v>
      </c>
      <c r="C409" t="s">
        <v>30</v>
      </c>
      <c r="D409" s="2">
        <v>5182</v>
      </c>
      <c r="E409" s="2">
        <v>58811</v>
      </c>
      <c r="F409" s="3">
        <v>21078</v>
      </c>
    </row>
    <row r="410" spans="1:6" x14ac:dyDescent="0.3">
      <c r="A410">
        <v>2020</v>
      </c>
      <c r="B410" t="s">
        <v>62</v>
      </c>
      <c r="C410" t="s">
        <v>31</v>
      </c>
      <c r="D410" s="2">
        <v>5552</v>
      </c>
      <c r="E410" s="2">
        <v>79529</v>
      </c>
      <c r="F410" s="3">
        <v>18131</v>
      </c>
    </row>
    <row r="411" spans="1:6" x14ac:dyDescent="0.3">
      <c r="A411">
        <v>2020</v>
      </c>
      <c r="B411" t="s">
        <v>62</v>
      </c>
      <c r="C411" t="s">
        <v>32</v>
      </c>
      <c r="D411" s="2">
        <v>8698</v>
      </c>
      <c r="E411" s="2">
        <v>255447</v>
      </c>
      <c r="F411" s="3">
        <v>34061</v>
      </c>
    </row>
    <row r="412" spans="1:6" x14ac:dyDescent="0.3">
      <c r="A412">
        <v>2020</v>
      </c>
      <c r="B412" t="s">
        <v>62</v>
      </c>
      <c r="C412" t="s">
        <v>33</v>
      </c>
      <c r="D412" s="2">
        <v>4677</v>
      </c>
      <c r="E412" s="2">
        <v>57132</v>
      </c>
      <c r="F412" s="3">
        <v>24729</v>
      </c>
    </row>
    <row r="413" spans="1:6" x14ac:dyDescent="0.3">
      <c r="A413">
        <v>2020</v>
      </c>
      <c r="B413" t="s">
        <v>62</v>
      </c>
      <c r="C413" t="s">
        <v>34</v>
      </c>
      <c r="D413" s="2">
        <v>24584</v>
      </c>
      <c r="E413" s="2">
        <v>281546</v>
      </c>
      <c r="F413" s="3">
        <v>28639</v>
      </c>
    </row>
    <row r="414" spans="1:6" x14ac:dyDescent="0.3">
      <c r="A414">
        <v>2020</v>
      </c>
      <c r="B414" t="s">
        <v>62</v>
      </c>
      <c r="C414" t="s">
        <v>35</v>
      </c>
      <c r="D414" s="2">
        <v>5276</v>
      </c>
      <c r="E414" s="2">
        <v>78539</v>
      </c>
      <c r="F414" s="3">
        <v>19988</v>
      </c>
    </row>
    <row r="415" spans="1:6" x14ac:dyDescent="0.3">
      <c r="A415">
        <v>2020</v>
      </c>
      <c r="B415" t="s">
        <v>62</v>
      </c>
      <c r="C415" t="s">
        <v>36</v>
      </c>
      <c r="D415" s="2">
        <v>64959</v>
      </c>
      <c r="E415" s="2">
        <v>632760</v>
      </c>
      <c r="F415" s="3">
        <v>36986</v>
      </c>
    </row>
    <row r="416" spans="1:6" x14ac:dyDescent="0.3">
      <c r="A416">
        <v>2020</v>
      </c>
      <c r="B416" t="s">
        <v>62</v>
      </c>
      <c r="C416" t="s">
        <v>37</v>
      </c>
      <c r="D416" s="2">
        <v>27015</v>
      </c>
      <c r="E416" s="2">
        <v>420420</v>
      </c>
      <c r="F416" s="3">
        <v>21462</v>
      </c>
    </row>
    <row r="417" spans="1:6" x14ac:dyDescent="0.3">
      <c r="A417">
        <v>2020</v>
      </c>
      <c r="B417" t="s">
        <v>62</v>
      </c>
      <c r="C417" t="s">
        <v>38</v>
      </c>
      <c r="D417" s="2">
        <v>2621</v>
      </c>
      <c r="E417" s="2">
        <v>34228</v>
      </c>
      <c r="F417" s="3">
        <v>19193</v>
      </c>
    </row>
    <row r="418" spans="1:6" x14ac:dyDescent="0.3">
      <c r="A418">
        <v>2020</v>
      </c>
      <c r="B418" t="s">
        <v>62</v>
      </c>
      <c r="C418" t="s">
        <v>39</v>
      </c>
      <c r="D418" s="2">
        <v>29197</v>
      </c>
      <c r="E418" s="2">
        <v>466069</v>
      </c>
      <c r="F418" s="3">
        <v>21027</v>
      </c>
    </row>
    <row r="419" spans="1:6" x14ac:dyDescent="0.3">
      <c r="A419">
        <v>2020</v>
      </c>
      <c r="B419" t="s">
        <v>62</v>
      </c>
      <c r="C419" t="s">
        <v>40</v>
      </c>
      <c r="D419" s="2">
        <v>9364</v>
      </c>
      <c r="E419" s="2">
        <v>156230</v>
      </c>
      <c r="F419" s="3">
        <v>19310</v>
      </c>
    </row>
    <row r="420" spans="1:6" x14ac:dyDescent="0.3">
      <c r="A420">
        <v>2020</v>
      </c>
      <c r="B420" t="s">
        <v>62</v>
      </c>
      <c r="C420" t="s">
        <v>41</v>
      </c>
      <c r="D420" s="2">
        <v>13993</v>
      </c>
      <c r="E420" s="2">
        <v>161570</v>
      </c>
      <c r="F420" s="3">
        <v>24338</v>
      </c>
    </row>
    <row r="421" spans="1:6" x14ac:dyDescent="0.3">
      <c r="A421">
        <v>2020</v>
      </c>
      <c r="B421" t="s">
        <v>62</v>
      </c>
      <c r="C421" t="s">
        <v>42</v>
      </c>
      <c r="D421" s="2">
        <v>33532</v>
      </c>
      <c r="E421" s="2">
        <v>424092</v>
      </c>
      <c r="F421" s="3">
        <v>22945</v>
      </c>
    </row>
    <row r="422" spans="1:6" x14ac:dyDescent="0.3">
      <c r="A422">
        <v>2020</v>
      </c>
      <c r="B422" t="s">
        <v>62</v>
      </c>
      <c r="C422" t="s">
        <v>43</v>
      </c>
      <c r="D422" s="2">
        <v>3890</v>
      </c>
      <c r="E422" s="2">
        <v>44621</v>
      </c>
      <c r="F422" s="3">
        <v>24733</v>
      </c>
    </row>
    <row r="423" spans="1:6" x14ac:dyDescent="0.3">
      <c r="A423">
        <v>2020</v>
      </c>
      <c r="B423" t="s">
        <v>62</v>
      </c>
      <c r="C423" t="s">
        <v>44</v>
      </c>
      <c r="D423" s="2">
        <v>13676</v>
      </c>
      <c r="E423" s="2">
        <v>226959</v>
      </c>
      <c r="F423" s="3">
        <v>19677</v>
      </c>
    </row>
    <row r="424" spans="1:6" x14ac:dyDescent="0.3">
      <c r="A424">
        <v>2020</v>
      </c>
      <c r="B424" t="s">
        <v>62</v>
      </c>
      <c r="C424" t="s">
        <v>45</v>
      </c>
      <c r="D424" s="2">
        <v>3184</v>
      </c>
      <c r="E424" s="2">
        <v>41000</v>
      </c>
      <c r="F424" s="3">
        <v>18829</v>
      </c>
    </row>
    <row r="425" spans="1:6" x14ac:dyDescent="0.3">
      <c r="A425">
        <v>2020</v>
      </c>
      <c r="B425" t="s">
        <v>62</v>
      </c>
      <c r="C425" t="s">
        <v>46</v>
      </c>
      <c r="D425" s="2">
        <v>17443</v>
      </c>
      <c r="E425" s="2">
        <v>293033</v>
      </c>
      <c r="F425" s="3">
        <v>23771</v>
      </c>
    </row>
    <row r="426" spans="1:6" x14ac:dyDescent="0.3">
      <c r="A426">
        <v>2020</v>
      </c>
      <c r="B426" t="s">
        <v>62</v>
      </c>
      <c r="C426" t="s">
        <v>47</v>
      </c>
      <c r="D426" s="2">
        <v>66777</v>
      </c>
      <c r="E426" s="2">
        <v>1178456</v>
      </c>
      <c r="F426" s="3">
        <v>23001</v>
      </c>
    </row>
    <row r="427" spans="1:6" x14ac:dyDescent="0.3">
      <c r="A427">
        <v>2020</v>
      </c>
      <c r="B427" t="s">
        <v>62</v>
      </c>
      <c r="C427" t="s">
        <v>48</v>
      </c>
      <c r="D427" s="2">
        <v>7766</v>
      </c>
      <c r="E427" s="2">
        <v>133375</v>
      </c>
      <c r="F427" s="3">
        <v>21580</v>
      </c>
    </row>
    <row r="428" spans="1:6" x14ac:dyDescent="0.3">
      <c r="A428">
        <v>2020</v>
      </c>
      <c r="B428" t="s">
        <v>62</v>
      </c>
      <c r="C428" t="s">
        <v>49</v>
      </c>
      <c r="D428" s="2">
        <v>2220</v>
      </c>
      <c r="E428" s="2">
        <v>25985</v>
      </c>
      <c r="F428" s="3">
        <v>26068</v>
      </c>
    </row>
    <row r="429" spans="1:6" x14ac:dyDescent="0.3">
      <c r="A429">
        <v>2020</v>
      </c>
      <c r="B429" t="s">
        <v>62</v>
      </c>
      <c r="C429" t="s">
        <v>50</v>
      </c>
      <c r="D429" s="2">
        <v>20954</v>
      </c>
      <c r="E429" s="2">
        <v>322216</v>
      </c>
      <c r="F429" s="3">
        <v>22634</v>
      </c>
    </row>
    <row r="430" spans="1:6" x14ac:dyDescent="0.3">
      <c r="A430">
        <v>2020</v>
      </c>
      <c r="B430" t="s">
        <v>62</v>
      </c>
      <c r="C430" t="s">
        <v>51</v>
      </c>
      <c r="D430" s="2">
        <v>20710</v>
      </c>
      <c r="E430" s="2">
        <v>255412</v>
      </c>
      <c r="F430" s="3">
        <v>26657</v>
      </c>
    </row>
    <row r="431" spans="1:6" x14ac:dyDescent="0.3">
      <c r="A431">
        <v>2020</v>
      </c>
      <c r="B431" t="s">
        <v>62</v>
      </c>
      <c r="C431" t="s">
        <v>52</v>
      </c>
      <c r="D431" s="2">
        <v>4602</v>
      </c>
      <c r="E431" s="2">
        <v>61253</v>
      </c>
      <c r="F431" s="3">
        <v>18945</v>
      </c>
    </row>
    <row r="432" spans="1:6" x14ac:dyDescent="0.3">
      <c r="A432">
        <v>2020</v>
      </c>
      <c r="B432" t="s">
        <v>62</v>
      </c>
      <c r="C432" t="s">
        <v>53</v>
      </c>
      <c r="D432" s="2">
        <v>16783</v>
      </c>
      <c r="E432" s="2">
        <v>227495</v>
      </c>
      <c r="F432" s="3">
        <v>19473</v>
      </c>
    </row>
    <row r="433" spans="1:6" x14ac:dyDescent="0.3">
      <c r="A433">
        <v>2020</v>
      </c>
      <c r="B433" t="s">
        <v>62</v>
      </c>
      <c r="C433" t="s">
        <v>54</v>
      </c>
      <c r="D433" s="2">
        <v>2418</v>
      </c>
      <c r="E433" s="2">
        <v>32312</v>
      </c>
      <c r="F433" s="3">
        <v>23041</v>
      </c>
    </row>
    <row r="434" spans="1:6" x14ac:dyDescent="0.3">
      <c r="A434">
        <v>2020</v>
      </c>
      <c r="B434" t="s">
        <v>63</v>
      </c>
      <c r="C434" t="s">
        <v>7</v>
      </c>
      <c r="D434" s="2">
        <v>9048</v>
      </c>
      <c r="E434" s="2">
        <v>42367</v>
      </c>
      <c r="F434" s="3">
        <v>41437</v>
      </c>
    </row>
    <row r="435" spans="1:6" x14ac:dyDescent="0.3">
      <c r="A435">
        <v>2020</v>
      </c>
      <c r="B435" t="s">
        <v>63</v>
      </c>
      <c r="C435" t="s">
        <v>8</v>
      </c>
      <c r="D435" s="2">
        <v>10878</v>
      </c>
      <c r="E435" s="2">
        <v>69183</v>
      </c>
      <c r="F435" s="3">
        <v>42482</v>
      </c>
    </row>
    <row r="436" spans="1:6" x14ac:dyDescent="0.3">
      <c r="A436">
        <v>2020</v>
      </c>
      <c r="B436" t="s">
        <v>63</v>
      </c>
      <c r="C436" t="s">
        <v>9</v>
      </c>
      <c r="D436" s="2">
        <v>5464</v>
      </c>
      <c r="E436" s="2">
        <v>23724</v>
      </c>
      <c r="F436" s="3">
        <v>38111</v>
      </c>
    </row>
    <row r="437" spans="1:6" x14ac:dyDescent="0.3">
      <c r="A437">
        <v>2020</v>
      </c>
      <c r="B437" t="s">
        <v>63</v>
      </c>
      <c r="C437" t="s">
        <v>10</v>
      </c>
      <c r="D437" s="2">
        <v>97116</v>
      </c>
      <c r="E437" s="2">
        <v>452175</v>
      </c>
      <c r="F437" s="3">
        <v>47080</v>
      </c>
    </row>
    <row r="438" spans="1:6" x14ac:dyDescent="0.3">
      <c r="A438">
        <v>2020</v>
      </c>
      <c r="B438" t="s">
        <v>63</v>
      </c>
      <c r="C438" t="s">
        <v>11</v>
      </c>
      <c r="D438" s="2">
        <v>16860</v>
      </c>
      <c r="E438" s="2">
        <v>76766</v>
      </c>
      <c r="F438" s="3">
        <v>45642</v>
      </c>
    </row>
    <row r="439" spans="1:6" x14ac:dyDescent="0.3">
      <c r="A439">
        <v>2020</v>
      </c>
      <c r="B439" t="s">
        <v>63</v>
      </c>
      <c r="C439" t="s">
        <v>12</v>
      </c>
      <c r="D439" s="2">
        <v>12480</v>
      </c>
      <c r="E439" s="2">
        <v>48120</v>
      </c>
      <c r="F439" s="3">
        <v>42136</v>
      </c>
    </row>
    <row r="440" spans="1:6" x14ac:dyDescent="0.3">
      <c r="A440">
        <v>2020</v>
      </c>
      <c r="B440" t="s">
        <v>63</v>
      </c>
      <c r="C440" t="s">
        <v>13</v>
      </c>
      <c r="D440" s="2">
        <v>2088</v>
      </c>
      <c r="E440" s="2">
        <v>10706</v>
      </c>
      <c r="F440" s="3">
        <v>38135</v>
      </c>
    </row>
    <row r="441" spans="1:6" x14ac:dyDescent="0.3">
      <c r="A441">
        <v>2020</v>
      </c>
      <c r="B441" t="s">
        <v>63</v>
      </c>
      <c r="C441" t="s">
        <v>14</v>
      </c>
      <c r="D441" s="2">
        <v>54871</v>
      </c>
      <c r="E441" s="2">
        <v>254577</v>
      </c>
      <c r="F441" s="3">
        <v>41154</v>
      </c>
    </row>
    <row r="442" spans="1:6" x14ac:dyDescent="0.3">
      <c r="A442">
        <v>2020</v>
      </c>
      <c r="B442" t="s">
        <v>63</v>
      </c>
      <c r="C442" t="s">
        <v>15</v>
      </c>
      <c r="D442" s="2">
        <v>19294</v>
      </c>
      <c r="E442" s="2">
        <v>101509</v>
      </c>
      <c r="F442" s="3">
        <v>41319</v>
      </c>
    </row>
    <row r="443" spans="1:6" x14ac:dyDescent="0.3">
      <c r="A443">
        <v>2020</v>
      </c>
      <c r="B443" t="s">
        <v>63</v>
      </c>
      <c r="C443" t="s">
        <v>16</v>
      </c>
      <c r="D443" s="2">
        <v>4119</v>
      </c>
      <c r="E443" s="2">
        <v>18237</v>
      </c>
      <c r="F443" s="3">
        <v>35029</v>
      </c>
    </row>
    <row r="444" spans="1:6" x14ac:dyDescent="0.3">
      <c r="A444">
        <v>2020</v>
      </c>
      <c r="B444" t="s">
        <v>63</v>
      </c>
      <c r="C444" t="s">
        <v>17</v>
      </c>
      <c r="D444" s="2">
        <v>35477</v>
      </c>
      <c r="E444" s="2">
        <v>184359</v>
      </c>
      <c r="F444" s="3">
        <v>48230</v>
      </c>
    </row>
    <row r="445" spans="1:6" x14ac:dyDescent="0.3">
      <c r="A445">
        <v>2020</v>
      </c>
      <c r="B445" t="s">
        <v>63</v>
      </c>
      <c r="C445" t="s">
        <v>18</v>
      </c>
      <c r="D445" s="2">
        <v>13233</v>
      </c>
      <c r="E445" s="2">
        <v>80627</v>
      </c>
      <c r="F445" s="3">
        <v>36636</v>
      </c>
    </row>
    <row r="446" spans="1:6" x14ac:dyDescent="0.3">
      <c r="A446">
        <v>2020</v>
      </c>
      <c r="B446" t="s">
        <v>63</v>
      </c>
      <c r="C446" t="s">
        <v>19</v>
      </c>
      <c r="D446" s="2">
        <v>7585</v>
      </c>
      <c r="E446" s="2">
        <v>37229</v>
      </c>
      <c r="F446" s="3">
        <v>40163</v>
      </c>
    </row>
    <row r="447" spans="1:6" x14ac:dyDescent="0.3">
      <c r="A447">
        <v>2020</v>
      </c>
      <c r="B447" t="s">
        <v>63</v>
      </c>
      <c r="C447" t="s">
        <v>20</v>
      </c>
      <c r="D447" s="2">
        <v>5873</v>
      </c>
      <c r="E447" s="2">
        <v>31183</v>
      </c>
      <c r="F447" s="3">
        <v>38965</v>
      </c>
    </row>
    <row r="448" spans="1:6" x14ac:dyDescent="0.3">
      <c r="A448">
        <v>2020</v>
      </c>
      <c r="B448" t="s">
        <v>63</v>
      </c>
      <c r="C448" t="s">
        <v>21</v>
      </c>
      <c r="D448" s="2">
        <v>9084</v>
      </c>
      <c r="E448" s="2">
        <v>40228</v>
      </c>
      <c r="F448" s="3">
        <v>38895</v>
      </c>
    </row>
    <row r="449" spans="1:6" x14ac:dyDescent="0.3">
      <c r="A449">
        <v>2020</v>
      </c>
      <c r="B449" t="s">
        <v>63</v>
      </c>
      <c r="C449" t="s">
        <v>22</v>
      </c>
      <c r="D449" s="2">
        <v>9437</v>
      </c>
      <c r="E449" s="2">
        <v>41500</v>
      </c>
      <c r="F449" s="3">
        <v>41226</v>
      </c>
    </row>
    <row r="450" spans="1:6" x14ac:dyDescent="0.3">
      <c r="A450">
        <v>2020</v>
      </c>
      <c r="B450" t="s">
        <v>63</v>
      </c>
      <c r="C450" t="s">
        <v>23</v>
      </c>
      <c r="D450" s="2">
        <v>3830</v>
      </c>
      <c r="E450" s="2">
        <v>16120</v>
      </c>
      <c r="F450" s="3">
        <v>39497</v>
      </c>
    </row>
    <row r="451" spans="1:6" x14ac:dyDescent="0.3">
      <c r="A451">
        <v>2020</v>
      </c>
      <c r="B451" t="s">
        <v>63</v>
      </c>
      <c r="C451" t="s">
        <v>24</v>
      </c>
      <c r="D451" s="2">
        <v>19028</v>
      </c>
      <c r="E451" s="2">
        <v>78236</v>
      </c>
      <c r="F451" s="3">
        <v>48238</v>
      </c>
    </row>
    <row r="452" spans="1:6" x14ac:dyDescent="0.3">
      <c r="A452">
        <v>2020</v>
      </c>
      <c r="B452" t="s">
        <v>63</v>
      </c>
      <c r="C452" t="s">
        <v>25</v>
      </c>
      <c r="D452" s="2">
        <v>21927</v>
      </c>
      <c r="E452" s="2">
        <v>98276</v>
      </c>
      <c r="F452" s="3">
        <v>46345</v>
      </c>
    </row>
    <row r="453" spans="1:6" x14ac:dyDescent="0.3">
      <c r="A453">
        <v>2020</v>
      </c>
      <c r="B453" t="s">
        <v>63</v>
      </c>
      <c r="C453" t="s">
        <v>26</v>
      </c>
      <c r="D453" s="2">
        <v>25486</v>
      </c>
      <c r="E453" s="2">
        <v>114074</v>
      </c>
      <c r="F453" s="3">
        <v>39650</v>
      </c>
    </row>
    <row r="454" spans="1:6" x14ac:dyDescent="0.3">
      <c r="A454">
        <v>2020</v>
      </c>
      <c r="B454" t="s">
        <v>63</v>
      </c>
      <c r="C454" t="s">
        <v>27</v>
      </c>
      <c r="D454" s="2">
        <v>17118</v>
      </c>
      <c r="E454" s="2">
        <v>77083</v>
      </c>
      <c r="F454" s="3">
        <v>39485</v>
      </c>
    </row>
    <row r="455" spans="1:6" x14ac:dyDescent="0.3">
      <c r="A455">
        <v>2020</v>
      </c>
      <c r="B455" t="s">
        <v>63</v>
      </c>
      <c r="C455" t="s">
        <v>28</v>
      </c>
      <c r="D455" s="2">
        <v>4625</v>
      </c>
      <c r="E455" s="2">
        <v>19993</v>
      </c>
      <c r="F455" s="3">
        <v>38520</v>
      </c>
    </row>
    <row r="456" spans="1:6" x14ac:dyDescent="0.3">
      <c r="A456">
        <v>2020</v>
      </c>
      <c r="B456" t="s">
        <v>63</v>
      </c>
      <c r="C456" t="s">
        <v>29</v>
      </c>
      <c r="D456" s="2">
        <v>13399</v>
      </c>
      <c r="E456" s="2">
        <v>68557</v>
      </c>
      <c r="F456" s="3">
        <v>38496</v>
      </c>
    </row>
    <row r="457" spans="1:6" x14ac:dyDescent="0.3">
      <c r="A457">
        <v>2020</v>
      </c>
      <c r="B457" t="s">
        <v>63</v>
      </c>
      <c r="C457" t="s">
        <v>30</v>
      </c>
      <c r="D457" s="2">
        <v>4199</v>
      </c>
      <c r="E457" s="2">
        <v>17236</v>
      </c>
      <c r="F457" s="3">
        <v>34349</v>
      </c>
    </row>
    <row r="458" spans="1:6" x14ac:dyDescent="0.3">
      <c r="A458">
        <v>2020</v>
      </c>
      <c r="B458" t="s">
        <v>63</v>
      </c>
      <c r="C458" t="s">
        <v>31</v>
      </c>
      <c r="D458" s="2">
        <v>4602</v>
      </c>
      <c r="E458" s="2">
        <v>24061</v>
      </c>
      <c r="F458" s="3">
        <v>36266</v>
      </c>
    </row>
    <row r="459" spans="1:6" x14ac:dyDescent="0.3">
      <c r="A459">
        <v>2020</v>
      </c>
      <c r="B459" t="s">
        <v>63</v>
      </c>
      <c r="C459" t="s">
        <v>32</v>
      </c>
      <c r="D459" s="2">
        <v>5067</v>
      </c>
      <c r="E459" s="2">
        <v>30593</v>
      </c>
      <c r="F459" s="3">
        <v>41698</v>
      </c>
    </row>
    <row r="460" spans="1:6" x14ac:dyDescent="0.3">
      <c r="A460">
        <v>2020</v>
      </c>
      <c r="B460" t="s">
        <v>63</v>
      </c>
      <c r="C460" t="s">
        <v>33</v>
      </c>
      <c r="D460" s="2">
        <v>4109</v>
      </c>
      <c r="E460" s="2">
        <v>18869</v>
      </c>
      <c r="F460" s="3">
        <v>43107</v>
      </c>
    </row>
    <row r="461" spans="1:6" x14ac:dyDescent="0.3">
      <c r="A461">
        <v>2020</v>
      </c>
      <c r="B461" t="s">
        <v>63</v>
      </c>
      <c r="C461" t="s">
        <v>34</v>
      </c>
      <c r="D461" s="2">
        <v>24307</v>
      </c>
      <c r="E461" s="2">
        <v>114130</v>
      </c>
      <c r="F461" s="3">
        <v>41197</v>
      </c>
    </row>
    <row r="462" spans="1:6" x14ac:dyDescent="0.3">
      <c r="A462">
        <v>2020</v>
      </c>
      <c r="B462" t="s">
        <v>63</v>
      </c>
      <c r="C462" t="s">
        <v>35</v>
      </c>
      <c r="D462" s="2">
        <v>4261</v>
      </c>
      <c r="E462" s="2">
        <v>18424</v>
      </c>
      <c r="F462" s="3">
        <v>38699</v>
      </c>
    </row>
    <row r="463" spans="1:6" x14ac:dyDescent="0.3">
      <c r="A463">
        <v>2020</v>
      </c>
      <c r="B463" t="s">
        <v>63</v>
      </c>
      <c r="C463" t="s">
        <v>36</v>
      </c>
      <c r="D463" s="2">
        <v>70935</v>
      </c>
      <c r="E463" s="2">
        <v>307026</v>
      </c>
      <c r="F463" s="3">
        <v>49001</v>
      </c>
    </row>
    <row r="464" spans="1:6" x14ac:dyDescent="0.3">
      <c r="A464">
        <v>2020</v>
      </c>
      <c r="B464" t="s">
        <v>63</v>
      </c>
      <c r="C464" t="s">
        <v>37</v>
      </c>
      <c r="D464" s="2">
        <v>26011</v>
      </c>
      <c r="E464" s="2">
        <v>107703</v>
      </c>
      <c r="F464" s="3">
        <v>39794</v>
      </c>
    </row>
    <row r="465" spans="1:6" x14ac:dyDescent="0.3">
      <c r="A465">
        <v>2020</v>
      </c>
      <c r="B465" t="s">
        <v>63</v>
      </c>
      <c r="C465" t="s">
        <v>38</v>
      </c>
      <c r="D465" s="2">
        <v>2141</v>
      </c>
      <c r="E465" s="2">
        <v>10645</v>
      </c>
      <c r="F465" s="3">
        <v>40484</v>
      </c>
    </row>
    <row r="466" spans="1:6" x14ac:dyDescent="0.3">
      <c r="A466">
        <v>2020</v>
      </c>
      <c r="B466" t="s">
        <v>63</v>
      </c>
      <c r="C466" t="s">
        <v>39</v>
      </c>
      <c r="D466" s="2">
        <v>23929</v>
      </c>
      <c r="E466" s="2">
        <v>138448</v>
      </c>
      <c r="F466" s="3">
        <v>38332</v>
      </c>
    </row>
    <row r="467" spans="1:6" x14ac:dyDescent="0.3">
      <c r="A467">
        <v>2020</v>
      </c>
      <c r="B467" t="s">
        <v>63</v>
      </c>
      <c r="C467" t="s">
        <v>40</v>
      </c>
      <c r="D467" s="2">
        <v>6600</v>
      </c>
      <c r="E467" s="2">
        <v>34047</v>
      </c>
      <c r="F467" s="3">
        <v>37686</v>
      </c>
    </row>
    <row r="468" spans="1:6" x14ac:dyDescent="0.3">
      <c r="A468">
        <v>2020</v>
      </c>
      <c r="B468" t="s">
        <v>63</v>
      </c>
      <c r="C468" t="s">
        <v>41</v>
      </c>
      <c r="D468" s="2">
        <v>14853</v>
      </c>
      <c r="E468" s="2">
        <v>60924</v>
      </c>
      <c r="F468" s="3">
        <v>41296</v>
      </c>
    </row>
    <row r="469" spans="1:6" x14ac:dyDescent="0.3">
      <c r="A469">
        <v>2020</v>
      </c>
      <c r="B469" t="s">
        <v>63</v>
      </c>
      <c r="C469" t="s">
        <v>42</v>
      </c>
      <c r="D469" s="2">
        <v>33590</v>
      </c>
      <c r="E469" s="2">
        <v>169772</v>
      </c>
      <c r="F469" s="3">
        <v>39396</v>
      </c>
    </row>
    <row r="470" spans="1:6" x14ac:dyDescent="0.3">
      <c r="A470">
        <v>2020</v>
      </c>
      <c r="B470" t="s">
        <v>63</v>
      </c>
      <c r="C470" t="s">
        <v>43</v>
      </c>
      <c r="D470" s="2">
        <v>3576</v>
      </c>
      <c r="E470" s="2">
        <v>15156</v>
      </c>
      <c r="F470" s="3">
        <v>38763</v>
      </c>
    </row>
    <row r="471" spans="1:6" x14ac:dyDescent="0.3">
      <c r="A471">
        <v>2020</v>
      </c>
      <c r="B471" t="s">
        <v>63</v>
      </c>
      <c r="C471" t="s">
        <v>44</v>
      </c>
      <c r="D471" s="2">
        <v>10267</v>
      </c>
      <c r="E471" s="2">
        <v>49710</v>
      </c>
      <c r="F471" s="3">
        <v>38110</v>
      </c>
    </row>
    <row r="472" spans="1:6" x14ac:dyDescent="0.3">
      <c r="A472">
        <v>2020</v>
      </c>
      <c r="B472" t="s">
        <v>63</v>
      </c>
      <c r="C472" t="s">
        <v>45</v>
      </c>
      <c r="D472" s="2">
        <v>2313</v>
      </c>
      <c r="E472" s="2">
        <v>11077</v>
      </c>
      <c r="F472" s="3">
        <v>38165</v>
      </c>
    </row>
    <row r="473" spans="1:6" x14ac:dyDescent="0.3">
      <c r="A473">
        <v>2020</v>
      </c>
      <c r="B473" t="s">
        <v>63</v>
      </c>
      <c r="C473" t="s">
        <v>46</v>
      </c>
      <c r="D473" s="2">
        <v>12651</v>
      </c>
      <c r="E473" s="2">
        <v>70977</v>
      </c>
      <c r="F473" s="3">
        <v>40323</v>
      </c>
    </row>
    <row r="474" spans="1:6" x14ac:dyDescent="0.3">
      <c r="A474">
        <v>2020</v>
      </c>
      <c r="B474" t="s">
        <v>63</v>
      </c>
      <c r="C474" t="s">
        <v>47</v>
      </c>
      <c r="D474" s="2">
        <v>57936</v>
      </c>
      <c r="E474" s="2">
        <v>310244</v>
      </c>
      <c r="F474" s="3">
        <v>44055</v>
      </c>
    </row>
    <row r="475" spans="1:6" x14ac:dyDescent="0.3">
      <c r="A475">
        <v>2020</v>
      </c>
      <c r="B475" t="s">
        <v>63</v>
      </c>
      <c r="C475" t="s">
        <v>48</v>
      </c>
      <c r="D475" s="2">
        <v>6849</v>
      </c>
      <c r="E475" s="2">
        <v>35002</v>
      </c>
      <c r="F475" s="3">
        <v>39528</v>
      </c>
    </row>
    <row r="476" spans="1:6" x14ac:dyDescent="0.3">
      <c r="A476">
        <v>2020</v>
      </c>
      <c r="B476" t="s">
        <v>63</v>
      </c>
      <c r="C476" t="s">
        <v>49</v>
      </c>
      <c r="D476" s="2">
        <v>1995</v>
      </c>
      <c r="E476" s="2">
        <v>7681</v>
      </c>
      <c r="F476" s="3">
        <v>41304</v>
      </c>
    </row>
    <row r="477" spans="1:6" x14ac:dyDescent="0.3">
      <c r="A477">
        <v>2020</v>
      </c>
      <c r="B477" t="s">
        <v>63</v>
      </c>
      <c r="C477" t="s">
        <v>50</v>
      </c>
      <c r="D477" s="2">
        <v>29516</v>
      </c>
      <c r="E477" s="2">
        <v>121622</v>
      </c>
      <c r="F477" s="3">
        <v>50744</v>
      </c>
    </row>
    <row r="478" spans="1:6" x14ac:dyDescent="0.3">
      <c r="A478">
        <v>2020</v>
      </c>
      <c r="B478" t="s">
        <v>63</v>
      </c>
      <c r="C478" t="s">
        <v>51</v>
      </c>
      <c r="D478" s="2">
        <v>20259</v>
      </c>
      <c r="E478" s="2">
        <v>89105</v>
      </c>
      <c r="F478" s="3">
        <v>46691</v>
      </c>
    </row>
    <row r="479" spans="1:6" x14ac:dyDescent="0.3">
      <c r="A479">
        <v>2020</v>
      </c>
      <c r="B479" t="s">
        <v>63</v>
      </c>
      <c r="C479" t="s">
        <v>52</v>
      </c>
      <c r="D479" s="2">
        <v>3442</v>
      </c>
      <c r="E479" s="2">
        <v>15621</v>
      </c>
      <c r="F479" s="3">
        <v>35759</v>
      </c>
    </row>
    <row r="480" spans="1:6" x14ac:dyDescent="0.3">
      <c r="A480">
        <v>2020</v>
      </c>
      <c r="B480" t="s">
        <v>63</v>
      </c>
      <c r="C480" t="s">
        <v>53</v>
      </c>
      <c r="D480" s="2">
        <v>13143</v>
      </c>
      <c r="E480" s="2">
        <v>74028</v>
      </c>
      <c r="F480" s="3">
        <v>36058</v>
      </c>
    </row>
    <row r="481" spans="1:6" x14ac:dyDescent="0.3">
      <c r="A481">
        <v>2020</v>
      </c>
      <c r="B481" t="s">
        <v>63</v>
      </c>
      <c r="C481" t="s">
        <v>54</v>
      </c>
      <c r="D481" s="2">
        <v>1669</v>
      </c>
      <c r="E481" s="2">
        <v>6769</v>
      </c>
      <c r="F481" s="3">
        <v>40253</v>
      </c>
    </row>
    <row r="482" spans="1:6" x14ac:dyDescent="0.3">
      <c r="A482">
        <v>2019</v>
      </c>
      <c r="B482" t="s">
        <v>6</v>
      </c>
      <c r="C482" t="s">
        <v>7</v>
      </c>
      <c r="D482" s="2">
        <v>1846</v>
      </c>
      <c r="E482" s="2">
        <v>18939</v>
      </c>
      <c r="F482" s="3">
        <v>56529</v>
      </c>
    </row>
    <row r="483" spans="1:6" x14ac:dyDescent="0.3">
      <c r="A483">
        <v>2019</v>
      </c>
      <c r="B483" t="s">
        <v>6</v>
      </c>
      <c r="C483" t="s">
        <v>8</v>
      </c>
      <c r="D483" s="2">
        <v>1358</v>
      </c>
      <c r="E483" s="2">
        <v>37970</v>
      </c>
      <c r="F483" s="3">
        <v>52262</v>
      </c>
    </row>
    <row r="484" spans="1:6" x14ac:dyDescent="0.3">
      <c r="A484">
        <v>2019</v>
      </c>
      <c r="B484" t="s">
        <v>6</v>
      </c>
      <c r="C484" t="s">
        <v>9</v>
      </c>
      <c r="D484" s="2">
        <v>2577</v>
      </c>
      <c r="E484" s="2">
        <v>16390</v>
      </c>
      <c r="F484" s="3">
        <v>48299</v>
      </c>
    </row>
    <row r="485" spans="1:6" x14ac:dyDescent="0.3">
      <c r="A485">
        <v>2019</v>
      </c>
      <c r="B485" t="s">
        <v>6</v>
      </c>
      <c r="C485" t="s">
        <v>10</v>
      </c>
      <c r="D485" s="2">
        <v>17663</v>
      </c>
      <c r="E485" s="2">
        <v>443581</v>
      </c>
      <c r="F485" s="3">
        <v>40246</v>
      </c>
    </row>
    <row r="486" spans="1:6" x14ac:dyDescent="0.3">
      <c r="A486">
        <v>2019</v>
      </c>
      <c r="B486" t="s">
        <v>6</v>
      </c>
      <c r="C486" t="s">
        <v>11</v>
      </c>
      <c r="D486" s="2">
        <v>3279</v>
      </c>
      <c r="E486" s="2">
        <v>48392</v>
      </c>
      <c r="F486" s="3">
        <v>90328</v>
      </c>
    </row>
    <row r="487" spans="1:6" x14ac:dyDescent="0.3">
      <c r="A487">
        <v>2019</v>
      </c>
      <c r="B487" t="s">
        <v>6</v>
      </c>
      <c r="C487" t="s">
        <v>12</v>
      </c>
      <c r="D487">
        <v>437</v>
      </c>
      <c r="E487" s="2">
        <v>5258</v>
      </c>
      <c r="F487" s="3">
        <v>41449</v>
      </c>
    </row>
    <row r="488" spans="1:6" x14ac:dyDescent="0.3">
      <c r="A488">
        <v>2019</v>
      </c>
      <c r="B488" t="s">
        <v>6</v>
      </c>
      <c r="C488" t="s">
        <v>13</v>
      </c>
      <c r="D488">
        <v>180</v>
      </c>
      <c r="E488" s="2">
        <v>1471</v>
      </c>
      <c r="F488" s="3">
        <v>42123</v>
      </c>
    </row>
    <row r="489" spans="1:6" x14ac:dyDescent="0.3">
      <c r="A489">
        <v>2019</v>
      </c>
      <c r="B489" t="s">
        <v>6</v>
      </c>
      <c r="C489" t="s">
        <v>14</v>
      </c>
      <c r="D489" s="2">
        <v>5304</v>
      </c>
      <c r="E489" s="2">
        <v>71329</v>
      </c>
      <c r="F489" s="3">
        <v>35645</v>
      </c>
    </row>
    <row r="490" spans="1:6" x14ac:dyDescent="0.3">
      <c r="A490">
        <v>2019</v>
      </c>
      <c r="B490" t="s">
        <v>6</v>
      </c>
      <c r="C490" t="s">
        <v>15</v>
      </c>
      <c r="D490" s="2">
        <v>2662</v>
      </c>
      <c r="E490" s="2">
        <v>29910</v>
      </c>
      <c r="F490" s="3">
        <v>43258</v>
      </c>
    </row>
    <row r="491" spans="1:6" x14ac:dyDescent="0.3">
      <c r="A491">
        <v>2019</v>
      </c>
      <c r="B491" t="s">
        <v>6</v>
      </c>
      <c r="C491" t="s">
        <v>16</v>
      </c>
      <c r="D491" s="2">
        <v>2401</v>
      </c>
      <c r="E491" s="2">
        <v>26555</v>
      </c>
      <c r="F491" s="3">
        <v>41105</v>
      </c>
    </row>
    <row r="492" spans="1:6" x14ac:dyDescent="0.3">
      <c r="A492">
        <v>2019</v>
      </c>
      <c r="B492" t="s">
        <v>6</v>
      </c>
      <c r="C492" t="s">
        <v>17</v>
      </c>
      <c r="D492" s="2">
        <v>2825</v>
      </c>
      <c r="E492" s="2">
        <v>26828</v>
      </c>
      <c r="F492" s="3">
        <v>52197</v>
      </c>
    </row>
    <row r="493" spans="1:6" x14ac:dyDescent="0.3">
      <c r="A493">
        <v>2019</v>
      </c>
      <c r="B493" t="s">
        <v>6</v>
      </c>
      <c r="C493" t="s">
        <v>18</v>
      </c>
      <c r="D493" s="2">
        <v>2255</v>
      </c>
      <c r="E493" s="2">
        <v>21475</v>
      </c>
      <c r="F493" s="3">
        <v>50243</v>
      </c>
    </row>
    <row r="494" spans="1:6" x14ac:dyDescent="0.3">
      <c r="A494">
        <v>2019</v>
      </c>
      <c r="B494" t="s">
        <v>6</v>
      </c>
      <c r="C494" t="s">
        <v>19</v>
      </c>
      <c r="D494" s="2">
        <v>2916</v>
      </c>
      <c r="E494" s="2">
        <v>23431</v>
      </c>
      <c r="F494" s="3">
        <v>44087</v>
      </c>
    </row>
    <row r="495" spans="1:6" x14ac:dyDescent="0.3">
      <c r="A495">
        <v>2019</v>
      </c>
      <c r="B495" t="s">
        <v>6</v>
      </c>
      <c r="C495" t="s">
        <v>20</v>
      </c>
      <c r="D495" s="2">
        <v>2612</v>
      </c>
      <c r="E495" s="2">
        <v>19353</v>
      </c>
      <c r="F495" s="3">
        <v>47802</v>
      </c>
    </row>
    <row r="496" spans="1:6" x14ac:dyDescent="0.3">
      <c r="A496">
        <v>2019</v>
      </c>
      <c r="B496" t="s">
        <v>6</v>
      </c>
      <c r="C496" t="s">
        <v>21</v>
      </c>
      <c r="D496" s="2">
        <v>1561</v>
      </c>
      <c r="E496" s="2">
        <v>18911</v>
      </c>
      <c r="F496" s="3">
        <v>56448</v>
      </c>
    </row>
    <row r="497" spans="1:6" x14ac:dyDescent="0.3">
      <c r="A497">
        <v>2019</v>
      </c>
      <c r="B497" t="s">
        <v>6</v>
      </c>
      <c r="C497" t="s">
        <v>22</v>
      </c>
      <c r="D497" s="2">
        <v>3133</v>
      </c>
      <c r="E497" s="2">
        <v>44052</v>
      </c>
      <c r="F497" s="3">
        <v>87820</v>
      </c>
    </row>
    <row r="498" spans="1:6" x14ac:dyDescent="0.3">
      <c r="A498">
        <v>2019</v>
      </c>
      <c r="B498" t="s">
        <v>6</v>
      </c>
      <c r="C498" t="s">
        <v>23</v>
      </c>
      <c r="D498" s="2">
        <v>1447</v>
      </c>
      <c r="E498" s="2">
        <v>7281</v>
      </c>
      <c r="F498" s="3">
        <v>41157</v>
      </c>
    </row>
    <row r="499" spans="1:6" x14ac:dyDescent="0.3">
      <c r="A499">
        <v>2019</v>
      </c>
      <c r="B499" t="s">
        <v>6</v>
      </c>
      <c r="C499" t="s">
        <v>24</v>
      </c>
      <c r="D499">
        <v>723</v>
      </c>
      <c r="E499" s="2">
        <v>7194</v>
      </c>
      <c r="F499" s="3">
        <v>44642</v>
      </c>
    </row>
    <row r="500" spans="1:6" x14ac:dyDescent="0.3">
      <c r="A500">
        <v>2019</v>
      </c>
      <c r="B500" t="s">
        <v>6</v>
      </c>
      <c r="C500" t="s">
        <v>25</v>
      </c>
      <c r="D500" s="2">
        <v>1007</v>
      </c>
      <c r="E500" s="2">
        <v>10500</v>
      </c>
      <c r="F500" s="3">
        <v>63846</v>
      </c>
    </row>
    <row r="501" spans="1:6" x14ac:dyDescent="0.3">
      <c r="A501">
        <v>2019</v>
      </c>
      <c r="B501" t="s">
        <v>6</v>
      </c>
      <c r="C501" t="s">
        <v>26</v>
      </c>
      <c r="D501" s="2">
        <v>3480</v>
      </c>
      <c r="E501" s="2">
        <v>35622</v>
      </c>
      <c r="F501" s="3">
        <v>41799</v>
      </c>
    </row>
    <row r="502" spans="1:6" x14ac:dyDescent="0.3">
      <c r="A502">
        <v>2019</v>
      </c>
      <c r="B502" t="s">
        <v>6</v>
      </c>
      <c r="C502" t="s">
        <v>27</v>
      </c>
      <c r="D502" s="2">
        <v>3094</v>
      </c>
      <c r="E502" s="2">
        <v>28134</v>
      </c>
      <c r="F502" s="3">
        <v>51107</v>
      </c>
    </row>
    <row r="503" spans="1:6" x14ac:dyDescent="0.3">
      <c r="A503">
        <v>2019</v>
      </c>
      <c r="B503" t="s">
        <v>6</v>
      </c>
      <c r="C503" t="s">
        <v>28</v>
      </c>
      <c r="D503" s="2">
        <v>2110</v>
      </c>
      <c r="E503" s="2">
        <v>15777</v>
      </c>
      <c r="F503" s="3">
        <v>49263</v>
      </c>
    </row>
    <row r="504" spans="1:6" x14ac:dyDescent="0.3">
      <c r="A504">
        <v>2019</v>
      </c>
      <c r="B504" t="s">
        <v>6</v>
      </c>
      <c r="C504" t="s">
        <v>29</v>
      </c>
      <c r="D504" s="2">
        <v>2031</v>
      </c>
      <c r="E504" s="2">
        <v>16899</v>
      </c>
      <c r="F504" s="3">
        <v>44815</v>
      </c>
    </row>
    <row r="505" spans="1:6" x14ac:dyDescent="0.3">
      <c r="A505">
        <v>2019</v>
      </c>
      <c r="B505" t="s">
        <v>6</v>
      </c>
      <c r="C505" t="s">
        <v>30</v>
      </c>
      <c r="D505" s="2">
        <v>1789</v>
      </c>
      <c r="E505" s="2">
        <v>12792</v>
      </c>
      <c r="F505" s="3">
        <v>67162</v>
      </c>
    </row>
    <row r="506" spans="1:6" x14ac:dyDescent="0.3">
      <c r="A506">
        <v>2019</v>
      </c>
      <c r="B506" t="s">
        <v>6</v>
      </c>
      <c r="C506" t="s">
        <v>31</v>
      </c>
      <c r="D506" s="2">
        <v>2414</v>
      </c>
      <c r="E506" s="2">
        <v>15761</v>
      </c>
      <c r="F506" s="3">
        <v>42685</v>
      </c>
    </row>
    <row r="507" spans="1:6" x14ac:dyDescent="0.3">
      <c r="A507">
        <v>2019</v>
      </c>
      <c r="B507" t="s">
        <v>6</v>
      </c>
      <c r="C507" t="s">
        <v>32</v>
      </c>
      <c r="D507">
        <v>618</v>
      </c>
      <c r="E507" s="2">
        <v>19841</v>
      </c>
      <c r="F507" s="3">
        <v>86362</v>
      </c>
    </row>
    <row r="508" spans="1:6" x14ac:dyDescent="0.3">
      <c r="A508">
        <v>2019</v>
      </c>
      <c r="B508" t="s">
        <v>6</v>
      </c>
      <c r="C508" t="s">
        <v>33</v>
      </c>
      <c r="D508">
        <v>350</v>
      </c>
      <c r="E508" s="2">
        <v>2627</v>
      </c>
      <c r="F508" s="3">
        <v>44073</v>
      </c>
    </row>
    <row r="509" spans="1:6" x14ac:dyDescent="0.3">
      <c r="A509">
        <v>2019</v>
      </c>
      <c r="B509" t="s">
        <v>6</v>
      </c>
      <c r="C509" t="s">
        <v>34</v>
      </c>
      <c r="D509">
        <v>998</v>
      </c>
      <c r="E509" s="2">
        <v>12407</v>
      </c>
      <c r="F509" s="3">
        <v>41732</v>
      </c>
    </row>
    <row r="510" spans="1:6" x14ac:dyDescent="0.3">
      <c r="A510">
        <v>2019</v>
      </c>
      <c r="B510" t="s">
        <v>6</v>
      </c>
      <c r="C510" t="s">
        <v>35</v>
      </c>
      <c r="D510" s="2">
        <v>2100</v>
      </c>
      <c r="E510" s="2">
        <v>36949</v>
      </c>
      <c r="F510" s="3">
        <v>68427</v>
      </c>
    </row>
    <row r="511" spans="1:6" x14ac:dyDescent="0.3">
      <c r="A511">
        <v>2019</v>
      </c>
      <c r="B511" t="s">
        <v>6</v>
      </c>
      <c r="C511" t="s">
        <v>36</v>
      </c>
      <c r="D511" s="2">
        <v>3053</v>
      </c>
      <c r="E511" s="2">
        <v>31787</v>
      </c>
      <c r="F511" s="3">
        <v>42992</v>
      </c>
    </row>
    <row r="512" spans="1:6" x14ac:dyDescent="0.3">
      <c r="A512">
        <v>2019</v>
      </c>
      <c r="B512" t="s">
        <v>6</v>
      </c>
      <c r="C512" t="s">
        <v>37</v>
      </c>
      <c r="D512" s="2">
        <v>3378</v>
      </c>
      <c r="E512" s="2">
        <v>29828</v>
      </c>
      <c r="F512" s="3">
        <v>40862</v>
      </c>
    </row>
    <row r="513" spans="1:6" x14ac:dyDescent="0.3">
      <c r="A513">
        <v>2019</v>
      </c>
      <c r="B513" t="s">
        <v>6</v>
      </c>
      <c r="C513" t="s">
        <v>38</v>
      </c>
      <c r="D513" s="2">
        <v>1784</v>
      </c>
      <c r="E513" s="2">
        <v>25973</v>
      </c>
      <c r="F513" s="3">
        <v>97355</v>
      </c>
    </row>
    <row r="514" spans="1:6" x14ac:dyDescent="0.3">
      <c r="A514">
        <v>2019</v>
      </c>
      <c r="B514" t="s">
        <v>6</v>
      </c>
      <c r="C514" t="s">
        <v>39</v>
      </c>
      <c r="D514" s="2">
        <v>2531</v>
      </c>
      <c r="E514" s="2">
        <v>28532</v>
      </c>
      <c r="F514" s="3">
        <v>51860</v>
      </c>
    </row>
    <row r="515" spans="1:6" x14ac:dyDescent="0.3">
      <c r="A515">
        <v>2019</v>
      </c>
      <c r="B515" t="s">
        <v>6</v>
      </c>
      <c r="C515" t="s">
        <v>40</v>
      </c>
      <c r="D515" s="2">
        <v>4402</v>
      </c>
      <c r="E515" s="2">
        <v>56786</v>
      </c>
      <c r="F515" s="3">
        <v>91249</v>
      </c>
    </row>
    <row r="516" spans="1:6" x14ac:dyDescent="0.3">
      <c r="A516">
        <v>2019</v>
      </c>
      <c r="B516" t="s">
        <v>6</v>
      </c>
      <c r="C516" t="s">
        <v>41</v>
      </c>
      <c r="D516" s="2">
        <v>4633</v>
      </c>
      <c r="E516" s="2">
        <v>54550</v>
      </c>
      <c r="F516" s="3">
        <v>37586</v>
      </c>
    </row>
    <row r="517" spans="1:6" x14ac:dyDescent="0.3">
      <c r="A517">
        <v>2019</v>
      </c>
      <c r="B517" t="s">
        <v>6</v>
      </c>
      <c r="C517" t="s">
        <v>42</v>
      </c>
      <c r="D517" s="2">
        <v>3616</v>
      </c>
      <c r="E517" s="2">
        <v>52904</v>
      </c>
      <c r="F517" s="3">
        <v>65014</v>
      </c>
    </row>
    <row r="518" spans="1:6" x14ac:dyDescent="0.3">
      <c r="A518">
        <v>2019</v>
      </c>
      <c r="B518" t="s">
        <v>6</v>
      </c>
      <c r="C518" t="s">
        <v>43</v>
      </c>
      <c r="D518">
        <v>198</v>
      </c>
      <c r="E518" s="2">
        <v>1121</v>
      </c>
      <c r="F518" s="3">
        <v>39917</v>
      </c>
    </row>
    <row r="519" spans="1:6" x14ac:dyDescent="0.3">
      <c r="A519">
        <v>2019</v>
      </c>
      <c r="B519" t="s">
        <v>6</v>
      </c>
      <c r="C519" t="s">
        <v>44</v>
      </c>
      <c r="D519" s="2">
        <v>1345</v>
      </c>
      <c r="E519" s="2">
        <v>12552</v>
      </c>
      <c r="F519" s="3">
        <v>43952</v>
      </c>
    </row>
    <row r="520" spans="1:6" x14ac:dyDescent="0.3">
      <c r="A520">
        <v>2019</v>
      </c>
      <c r="B520" t="s">
        <v>6</v>
      </c>
      <c r="C520" t="s">
        <v>45</v>
      </c>
      <c r="D520" s="2">
        <v>1063</v>
      </c>
      <c r="E520" s="2">
        <v>6986</v>
      </c>
      <c r="F520" s="3">
        <v>43642</v>
      </c>
    </row>
    <row r="521" spans="1:6" x14ac:dyDescent="0.3">
      <c r="A521">
        <v>2019</v>
      </c>
      <c r="B521" t="s">
        <v>6</v>
      </c>
      <c r="C521" t="s">
        <v>46</v>
      </c>
      <c r="D521" s="2">
        <v>1107</v>
      </c>
      <c r="E521" s="2">
        <v>11568</v>
      </c>
      <c r="F521" s="3">
        <v>46865</v>
      </c>
    </row>
    <row r="522" spans="1:6" x14ac:dyDescent="0.3">
      <c r="A522">
        <v>2019</v>
      </c>
      <c r="B522" t="s">
        <v>6</v>
      </c>
      <c r="C522" t="s">
        <v>47</v>
      </c>
      <c r="D522" s="2">
        <v>19971</v>
      </c>
      <c r="E522" s="2">
        <v>307800</v>
      </c>
      <c r="F522" s="3">
        <v>114918</v>
      </c>
    </row>
    <row r="523" spans="1:6" x14ac:dyDescent="0.3">
      <c r="A523">
        <v>2019</v>
      </c>
      <c r="B523" t="s">
        <v>6</v>
      </c>
      <c r="C523" t="s">
        <v>48</v>
      </c>
      <c r="D523" s="2">
        <v>1032</v>
      </c>
      <c r="E523" s="2">
        <v>15160</v>
      </c>
      <c r="F523" s="3">
        <v>63604</v>
      </c>
    </row>
    <row r="524" spans="1:6" x14ac:dyDescent="0.3">
      <c r="A524">
        <v>2019</v>
      </c>
      <c r="B524" t="s">
        <v>6</v>
      </c>
      <c r="C524" t="s">
        <v>49</v>
      </c>
      <c r="D524">
        <v>564</v>
      </c>
      <c r="E524" s="2">
        <v>4130</v>
      </c>
      <c r="F524" s="3">
        <v>39607</v>
      </c>
    </row>
    <row r="525" spans="1:6" x14ac:dyDescent="0.3">
      <c r="A525">
        <v>2019</v>
      </c>
      <c r="B525" t="s">
        <v>6</v>
      </c>
      <c r="C525" t="s">
        <v>50</v>
      </c>
      <c r="D525" s="2">
        <v>2095</v>
      </c>
      <c r="E525" s="2">
        <v>18691</v>
      </c>
      <c r="F525" s="3">
        <v>48704</v>
      </c>
    </row>
    <row r="526" spans="1:6" x14ac:dyDescent="0.3">
      <c r="A526">
        <v>2019</v>
      </c>
      <c r="B526" t="s">
        <v>6</v>
      </c>
      <c r="C526" t="s">
        <v>51</v>
      </c>
      <c r="D526" s="2">
        <v>7117</v>
      </c>
      <c r="E526" s="2">
        <v>105362</v>
      </c>
      <c r="F526" s="3">
        <v>34547</v>
      </c>
    </row>
    <row r="527" spans="1:6" x14ac:dyDescent="0.3">
      <c r="A527">
        <v>2019</v>
      </c>
      <c r="B527" t="s">
        <v>6</v>
      </c>
      <c r="C527" t="s">
        <v>52</v>
      </c>
      <c r="D527" s="2">
        <v>1166</v>
      </c>
      <c r="E527" s="2">
        <v>23333</v>
      </c>
      <c r="F527" s="3">
        <v>80470</v>
      </c>
    </row>
    <row r="528" spans="1:6" x14ac:dyDescent="0.3">
      <c r="A528">
        <v>2019</v>
      </c>
      <c r="B528" t="s">
        <v>6</v>
      </c>
      <c r="C528" t="s">
        <v>53</v>
      </c>
      <c r="D528" s="2">
        <v>2876</v>
      </c>
      <c r="E528" s="2">
        <v>31424</v>
      </c>
      <c r="F528" s="3">
        <v>40225</v>
      </c>
    </row>
    <row r="529" spans="1:6" x14ac:dyDescent="0.3">
      <c r="A529">
        <v>2019</v>
      </c>
      <c r="B529" t="s">
        <v>6</v>
      </c>
      <c r="C529" t="s">
        <v>54</v>
      </c>
      <c r="D529" s="2">
        <v>1463</v>
      </c>
      <c r="E529" s="2">
        <v>23524</v>
      </c>
      <c r="F529" s="3">
        <v>86467</v>
      </c>
    </row>
    <row r="530" spans="1:6" x14ac:dyDescent="0.3">
      <c r="A530">
        <v>2019</v>
      </c>
      <c r="B530" t="s">
        <v>55</v>
      </c>
      <c r="C530" t="s">
        <v>7</v>
      </c>
      <c r="D530" s="2">
        <v>10069</v>
      </c>
      <c r="E530" s="2">
        <v>93619</v>
      </c>
      <c r="F530" s="3">
        <v>56141</v>
      </c>
    </row>
    <row r="531" spans="1:6" x14ac:dyDescent="0.3">
      <c r="A531">
        <v>2019</v>
      </c>
      <c r="B531" t="s">
        <v>55</v>
      </c>
      <c r="C531" t="s">
        <v>8</v>
      </c>
      <c r="D531" s="2">
        <v>13677</v>
      </c>
      <c r="E531" s="2">
        <v>171309</v>
      </c>
      <c r="F531" s="3">
        <v>58621</v>
      </c>
    </row>
    <row r="532" spans="1:6" x14ac:dyDescent="0.3">
      <c r="A532">
        <v>2019</v>
      </c>
      <c r="B532" t="s">
        <v>55</v>
      </c>
      <c r="C532" t="s">
        <v>9</v>
      </c>
      <c r="D532" s="2">
        <v>7093</v>
      </c>
      <c r="E532" s="2">
        <v>52538</v>
      </c>
      <c r="F532" s="3">
        <v>49541</v>
      </c>
    </row>
    <row r="533" spans="1:6" x14ac:dyDescent="0.3">
      <c r="A533">
        <v>2019</v>
      </c>
      <c r="B533" t="s">
        <v>55</v>
      </c>
      <c r="C533" t="s">
        <v>10</v>
      </c>
      <c r="D533" s="2">
        <v>84247</v>
      </c>
      <c r="E533" s="2">
        <v>885668</v>
      </c>
      <c r="F533" s="3">
        <v>73343</v>
      </c>
    </row>
    <row r="534" spans="1:6" x14ac:dyDescent="0.3">
      <c r="A534">
        <v>2019</v>
      </c>
      <c r="B534" t="s">
        <v>55</v>
      </c>
      <c r="C534" t="s">
        <v>11</v>
      </c>
      <c r="D534" s="2">
        <v>20430</v>
      </c>
      <c r="E534" s="2">
        <v>178880</v>
      </c>
      <c r="F534" s="3">
        <v>64603</v>
      </c>
    </row>
    <row r="535" spans="1:6" x14ac:dyDescent="0.3">
      <c r="A535">
        <v>2019</v>
      </c>
      <c r="B535" t="s">
        <v>55</v>
      </c>
      <c r="C535" t="s">
        <v>12</v>
      </c>
      <c r="D535" s="2">
        <v>9496</v>
      </c>
      <c r="E535" s="2">
        <v>59731</v>
      </c>
      <c r="F535" s="3">
        <v>72413</v>
      </c>
    </row>
    <row r="536" spans="1:6" x14ac:dyDescent="0.3">
      <c r="A536">
        <v>2019</v>
      </c>
      <c r="B536" t="s">
        <v>55</v>
      </c>
      <c r="C536" t="s">
        <v>13</v>
      </c>
      <c r="D536" s="2">
        <v>3007</v>
      </c>
      <c r="E536" s="2">
        <v>22909</v>
      </c>
      <c r="F536" s="3">
        <v>62481</v>
      </c>
    </row>
    <row r="537" spans="1:6" x14ac:dyDescent="0.3">
      <c r="A537">
        <v>2019</v>
      </c>
      <c r="B537" t="s">
        <v>55</v>
      </c>
      <c r="C537" t="s">
        <v>14</v>
      </c>
      <c r="D537" s="2">
        <v>74711</v>
      </c>
      <c r="E537" s="2">
        <v>563526</v>
      </c>
      <c r="F537" s="3">
        <v>52893</v>
      </c>
    </row>
    <row r="538" spans="1:6" x14ac:dyDescent="0.3">
      <c r="A538">
        <v>2019</v>
      </c>
      <c r="B538" t="s">
        <v>55</v>
      </c>
      <c r="C538" t="s">
        <v>15</v>
      </c>
      <c r="D538" s="2">
        <v>21408</v>
      </c>
      <c r="E538" s="2">
        <v>203951</v>
      </c>
      <c r="F538" s="3">
        <v>63683</v>
      </c>
    </row>
    <row r="539" spans="1:6" x14ac:dyDescent="0.3">
      <c r="A539">
        <v>2019</v>
      </c>
      <c r="B539" t="s">
        <v>55</v>
      </c>
      <c r="C539" t="s">
        <v>16</v>
      </c>
      <c r="D539" s="2">
        <v>8175</v>
      </c>
      <c r="E539" s="2">
        <v>50684</v>
      </c>
      <c r="F539" s="3">
        <v>46258</v>
      </c>
    </row>
    <row r="540" spans="1:6" x14ac:dyDescent="0.3">
      <c r="A540">
        <v>2019</v>
      </c>
      <c r="B540" t="s">
        <v>55</v>
      </c>
      <c r="C540" t="s">
        <v>17</v>
      </c>
      <c r="D540" s="2">
        <v>32686</v>
      </c>
      <c r="E540" s="2">
        <v>227968</v>
      </c>
      <c r="F540" s="3">
        <v>73799</v>
      </c>
    </row>
    <row r="541" spans="1:6" x14ac:dyDescent="0.3">
      <c r="A541">
        <v>2019</v>
      </c>
      <c r="B541" t="s">
        <v>55</v>
      </c>
      <c r="C541" t="s">
        <v>18</v>
      </c>
      <c r="D541" s="2">
        <v>15232</v>
      </c>
      <c r="E541" s="2">
        <v>145851</v>
      </c>
      <c r="F541" s="3">
        <v>60057</v>
      </c>
    </row>
    <row r="542" spans="1:6" x14ac:dyDescent="0.3">
      <c r="A542">
        <v>2019</v>
      </c>
      <c r="B542" t="s">
        <v>55</v>
      </c>
      <c r="C542" t="s">
        <v>19</v>
      </c>
      <c r="D542" s="2">
        <v>9462</v>
      </c>
      <c r="E542" s="2">
        <v>78134</v>
      </c>
      <c r="F542" s="3">
        <v>58962</v>
      </c>
    </row>
    <row r="543" spans="1:6" x14ac:dyDescent="0.3">
      <c r="A543">
        <v>2019</v>
      </c>
      <c r="B543" t="s">
        <v>55</v>
      </c>
      <c r="C543" t="s">
        <v>20</v>
      </c>
      <c r="D543" s="2">
        <v>7399</v>
      </c>
      <c r="E543" s="2">
        <v>63735</v>
      </c>
      <c r="F543" s="3">
        <v>57030</v>
      </c>
    </row>
    <row r="544" spans="1:6" x14ac:dyDescent="0.3">
      <c r="A544">
        <v>2019</v>
      </c>
      <c r="B544" t="s">
        <v>55</v>
      </c>
      <c r="C544" t="s">
        <v>21</v>
      </c>
      <c r="D544" s="2">
        <v>9517</v>
      </c>
      <c r="E544" s="2">
        <v>80463</v>
      </c>
      <c r="F544" s="3">
        <v>55601</v>
      </c>
    </row>
    <row r="545" spans="1:6" x14ac:dyDescent="0.3">
      <c r="A545">
        <v>2019</v>
      </c>
      <c r="B545" t="s">
        <v>55</v>
      </c>
      <c r="C545" t="s">
        <v>22</v>
      </c>
      <c r="D545" s="2">
        <v>10991</v>
      </c>
      <c r="E545" s="2">
        <v>142033</v>
      </c>
      <c r="F545" s="3">
        <v>64940</v>
      </c>
    </row>
    <row r="546" spans="1:6" x14ac:dyDescent="0.3">
      <c r="A546">
        <v>2019</v>
      </c>
      <c r="B546" t="s">
        <v>55</v>
      </c>
      <c r="C546" t="s">
        <v>23</v>
      </c>
      <c r="D546" s="2">
        <v>5605</v>
      </c>
      <c r="E546" s="2">
        <v>29987</v>
      </c>
      <c r="F546" s="3">
        <v>51654</v>
      </c>
    </row>
    <row r="547" spans="1:6" x14ac:dyDescent="0.3">
      <c r="A547">
        <v>2019</v>
      </c>
      <c r="B547" t="s">
        <v>55</v>
      </c>
      <c r="C547" t="s">
        <v>24</v>
      </c>
      <c r="D547" s="2">
        <v>16694</v>
      </c>
      <c r="E547" s="2">
        <v>166132</v>
      </c>
      <c r="F547" s="3">
        <v>67799</v>
      </c>
    </row>
    <row r="548" spans="1:6" x14ac:dyDescent="0.3">
      <c r="A548">
        <v>2019</v>
      </c>
      <c r="B548" t="s">
        <v>55</v>
      </c>
      <c r="C548" t="s">
        <v>25</v>
      </c>
      <c r="D548" s="2">
        <v>21309</v>
      </c>
      <c r="E548" s="2">
        <v>163062</v>
      </c>
      <c r="F548" s="3">
        <v>81436</v>
      </c>
    </row>
    <row r="549" spans="1:6" x14ac:dyDescent="0.3">
      <c r="A549">
        <v>2019</v>
      </c>
      <c r="B549" t="s">
        <v>55</v>
      </c>
      <c r="C549" t="s">
        <v>26</v>
      </c>
      <c r="D549" s="2">
        <v>21106</v>
      </c>
      <c r="E549" s="2">
        <v>173015</v>
      </c>
      <c r="F549" s="3">
        <v>63588</v>
      </c>
    </row>
    <row r="550" spans="1:6" x14ac:dyDescent="0.3">
      <c r="A550">
        <v>2019</v>
      </c>
      <c r="B550" t="s">
        <v>55</v>
      </c>
      <c r="C550" t="s">
        <v>27</v>
      </c>
      <c r="D550" s="2">
        <v>16700</v>
      </c>
      <c r="E550" s="2">
        <v>127092</v>
      </c>
      <c r="F550" s="3">
        <v>69734</v>
      </c>
    </row>
    <row r="551" spans="1:6" x14ac:dyDescent="0.3">
      <c r="A551">
        <v>2019</v>
      </c>
      <c r="B551" t="s">
        <v>55</v>
      </c>
      <c r="C551" t="s">
        <v>28</v>
      </c>
      <c r="D551" s="2">
        <v>5771</v>
      </c>
      <c r="E551" s="2">
        <v>44543</v>
      </c>
      <c r="F551" s="3">
        <v>50925</v>
      </c>
    </row>
    <row r="552" spans="1:6" x14ac:dyDescent="0.3">
      <c r="A552">
        <v>2019</v>
      </c>
      <c r="B552" t="s">
        <v>55</v>
      </c>
      <c r="C552" t="s">
        <v>29</v>
      </c>
      <c r="D552" s="2">
        <v>15133</v>
      </c>
      <c r="E552" s="2">
        <v>126641</v>
      </c>
      <c r="F552" s="3">
        <v>61762</v>
      </c>
    </row>
    <row r="553" spans="1:6" x14ac:dyDescent="0.3">
      <c r="A553">
        <v>2019</v>
      </c>
      <c r="B553" t="s">
        <v>55</v>
      </c>
      <c r="C553" t="s">
        <v>30</v>
      </c>
      <c r="D553" s="2">
        <v>6432</v>
      </c>
      <c r="E553" s="2">
        <v>29914</v>
      </c>
      <c r="F553" s="3">
        <v>53962</v>
      </c>
    </row>
    <row r="554" spans="1:6" x14ac:dyDescent="0.3">
      <c r="A554">
        <v>2019</v>
      </c>
      <c r="B554" t="s">
        <v>55</v>
      </c>
      <c r="C554" t="s">
        <v>31</v>
      </c>
      <c r="D554" s="2">
        <v>7038</v>
      </c>
      <c r="E554" s="2">
        <v>53732</v>
      </c>
      <c r="F554" s="3">
        <v>53794</v>
      </c>
    </row>
    <row r="555" spans="1:6" x14ac:dyDescent="0.3">
      <c r="A555">
        <v>2019</v>
      </c>
      <c r="B555" t="s">
        <v>55</v>
      </c>
      <c r="C555" t="s">
        <v>32</v>
      </c>
      <c r="D555" s="2">
        <v>5852</v>
      </c>
      <c r="E555" s="2">
        <v>95939</v>
      </c>
      <c r="F555" s="3">
        <v>64365</v>
      </c>
    </row>
    <row r="556" spans="1:6" x14ac:dyDescent="0.3">
      <c r="A556">
        <v>2019</v>
      </c>
      <c r="B556" t="s">
        <v>55</v>
      </c>
      <c r="C556" t="s">
        <v>33</v>
      </c>
      <c r="D556" s="2">
        <v>4692</v>
      </c>
      <c r="E556" s="2">
        <v>27825</v>
      </c>
      <c r="F556" s="3">
        <v>64868</v>
      </c>
    </row>
    <row r="557" spans="1:6" x14ac:dyDescent="0.3">
      <c r="A557">
        <v>2019</v>
      </c>
      <c r="B557" t="s">
        <v>55</v>
      </c>
      <c r="C557" t="s">
        <v>34</v>
      </c>
      <c r="D557" s="2">
        <v>22556</v>
      </c>
      <c r="E557" s="2">
        <v>159462</v>
      </c>
      <c r="F557" s="3">
        <v>74644</v>
      </c>
    </row>
    <row r="558" spans="1:6" x14ac:dyDescent="0.3">
      <c r="A558">
        <v>2019</v>
      </c>
      <c r="B558" t="s">
        <v>55</v>
      </c>
      <c r="C558" t="s">
        <v>35</v>
      </c>
      <c r="D558" s="2">
        <v>5571</v>
      </c>
      <c r="E558" s="2">
        <v>50153</v>
      </c>
      <c r="F558" s="3">
        <v>52091</v>
      </c>
    </row>
    <row r="559" spans="1:6" x14ac:dyDescent="0.3">
      <c r="A559">
        <v>2019</v>
      </c>
      <c r="B559" t="s">
        <v>55</v>
      </c>
      <c r="C559" t="s">
        <v>36</v>
      </c>
      <c r="D559" s="2">
        <v>50432</v>
      </c>
      <c r="E559" s="2">
        <v>405650</v>
      </c>
      <c r="F559" s="3">
        <v>75570</v>
      </c>
    </row>
    <row r="560" spans="1:6" x14ac:dyDescent="0.3">
      <c r="A560">
        <v>2019</v>
      </c>
      <c r="B560" t="s">
        <v>55</v>
      </c>
      <c r="C560" t="s">
        <v>37</v>
      </c>
      <c r="D560" s="2">
        <v>27974</v>
      </c>
      <c r="E560" s="2">
        <v>231739</v>
      </c>
      <c r="F560" s="3">
        <v>56974</v>
      </c>
    </row>
    <row r="561" spans="1:6" x14ac:dyDescent="0.3">
      <c r="A561">
        <v>2019</v>
      </c>
      <c r="B561" t="s">
        <v>55</v>
      </c>
      <c r="C561" t="s">
        <v>38</v>
      </c>
      <c r="D561" s="2">
        <v>3692</v>
      </c>
      <c r="E561" s="2">
        <v>27961</v>
      </c>
      <c r="F561" s="3">
        <v>68153</v>
      </c>
    </row>
    <row r="562" spans="1:6" x14ac:dyDescent="0.3">
      <c r="A562">
        <v>2019</v>
      </c>
      <c r="B562" t="s">
        <v>55</v>
      </c>
      <c r="C562" t="s">
        <v>39</v>
      </c>
      <c r="D562" s="2">
        <v>23405</v>
      </c>
      <c r="E562" s="2">
        <v>226563</v>
      </c>
      <c r="F562" s="3">
        <v>62383</v>
      </c>
    </row>
    <row r="563" spans="1:6" x14ac:dyDescent="0.3">
      <c r="A563">
        <v>2019</v>
      </c>
      <c r="B563" t="s">
        <v>55</v>
      </c>
      <c r="C563" t="s">
        <v>40</v>
      </c>
      <c r="D563" s="2">
        <v>9801</v>
      </c>
      <c r="E563" s="2">
        <v>82834</v>
      </c>
      <c r="F563" s="3">
        <v>54435</v>
      </c>
    </row>
    <row r="564" spans="1:6" x14ac:dyDescent="0.3">
      <c r="A564">
        <v>2019</v>
      </c>
      <c r="B564" t="s">
        <v>55</v>
      </c>
      <c r="C564" t="s">
        <v>41</v>
      </c>
      <c r="D564" s="2">
        <v>14626</v>
      </c>
      <c r="E564" s="2">
        <v>108871</v>
      </c>
      <c r="F564" s="3">
        <v>63148</v>
      </c>
    </row>
    <row r="565" spans="1:6" x14ac:dyDescent="0.3">
      <c r="A565">
        <v>2019</v>
      </c>
      <c r="B565" t="s">
        <v>55</v>
      </c>
      <c r="C565" t="s">
        <v>42</v>
      </c>
      <c r="D565" s="2">
        <v>29139</v>
      </c>
      <c r="E565" s="2">
        <v>260895</v>
      </c>
      <c r="F565" s="3">
        <v>68612</v>
      </c>
    </row>
    <row r="566" spans="1:6" x14ac:dyDescent="0.3">
      <c r="A566">
        <v>2019</v>
      </c>
      <c r="B566" t="s">
        <v>55</v>
      </c>
      <c r="C566" t="s">
        <v>43</v>
      </c>
      <c r="D566" s="2">
        <v>3833</v>
      </c>
      <c r="E566" s="2">
        <v>19980</v>
      </c>
      <c r="F566" s="3">
        <v>63414</v>
      </c>
    </row>
    <row r="567" spans="1:6" x14ac:dyDescent="0.3">
      <c r="A567">
        <v>2019</v>
      </c>
      <c r="B567" t="s">
        <v>55</v>
      </c>
      <c r="C567" t="s">
        <v>44</v>
      </c>
      <c r="D567" s="2">
        <v>12956</v>
      </c>
      <c r="E567" s="2">
        <v>107028</v>
      </c>
      <c r="F567" s="3">
        <v>55230</v>
      </c>
    </row>
    <row r="568" spans="1:6" x14ac:dyDescent="0.3">
      <c r="A568">
        <v>2019</v>
      </c>
      <c r="B568" t="s">
        <v>55</v>
      </c>
      <c r="C568" t="s">
        <v>45</v>
      </c>
      <c r="D568" s="2">
        <v>3897</v>
      </c>
      <c r="E568" s="2">
        <v>23609</v>
      </c>
      <c r="F568" s="3">
        <v>50997</v>
      </c>
    </row>
    <row r="569" spans="1:6" x14ac:dyDescent="0.3">
      <c r="A569">
        <v>2019</v>
      </c>
      <c r="B569" t="s">
        <v>55</v>
      </c>
      <c r="C569" t="s">
        <v>46</v>
      </c>
      <c r="D569" s="2">
        <v>12487</v>
      </c>
      <c r="E569" s="2">
        <v>130126</v>
      </c>
      <c r="F569" s="3">
        <v>58777</v>
      </c>
    </row>
    <row r="570" spans="1:6" x14ac:dyDescent="0.3">
      <c r="A570">
        <v>2019</v>
      </c>
      <c r="B570" t="s">
        <v>55</v>
      </c>
      <c r="C570" t="s">
        <v>47</v>
      </c>
      <c r="D570" s="2">
        <v>53248</v>
      </c>
      <c r="E570" s="2">
        <v>774190</v>
      </c>
      <c r="F570" s="3">
        <v>67564</v>
      </c>
    </row>
    <row r="571" spans="1:6" x14ac:dyDescent="0.3">
      <c r="A571">
        <v>2019</v>
      </c>
      <c r="B571" t="s">
        <v>55</v>
      </c>
      <c r="C571" t="s">
        <v>48</v>
      </c>
      <c r="D571" s="2">
        <v>12212</v>
      </c>
      <c r="E571" s="2">
        <v>109486</v>
      </c>
      <c r="F571" s="3">
        <v>53428</v>
      </c>
    </row>
    <row r="572" spans="1:6" x14ac:dyDescent="0.3">
      <c r="A572">
        <v>2019</v>
      </c>
      <c r="B572" t="s">
        <v>55</v>
      </c>
      <c r="C572" t="s">
        <v>49</v>
      </c>
      <c r="D572" s="2">
        <v>2846</v>
      </c>
      <c r="E572" s="2">
        <v>15283</v>
      </c>
      <c r="F572" s="3">
        <v>52585</v>
      </c>
    </row>
    <row r="573" spans="1:6" x14ac:dyDescent="0.3">
      <c r="A573">
        <v>2019</v>
      </c>
      <c r="B573" t="s">
        <v>55</v>
      </c>
      <c r="C573" t="s">
        <v>50</v>
      </c>
      <c r="D573" s="2">
        <v>21468</v>
      </c>
      <c r="E573" s="2">
        <v>202134</v>
      </c>
      <c r="F573" s="3">
        <v>60504</v>
      </c>
    </row>
    <row r="574" spans="1:6" x14ac:dyDescent="0.3">
      <c r="A574">
        <v>2019</v>
      </c>
      <c r="B574" t="s">
        <v>55</v>
      </c>
      <c r="C574" t="s">
        <v>51</v>
      </c>
      <c r="D574" s="2">
        <v>26472</v>
      </c>
      <c r="E574" s="2">
        <v>205717</v>
      </c>
      <c r="F574" s="3">
        <v>67833</v>
      </c>
    </row>
    <row r="575" spans="1:6" x14ac:dyDescent="0.3">
      <c r="A575">
        <v>2019</v>
      </c>
      <c r="B575" t="s">
        <v>55</v>
      </c>
      <c r="C575" t="s">
        <v>52</v>
      </c>
      <c r="D575" s="2">
        <v>4338</v>
      </c>
      <c r="E575" s="2">
        <v>35459</v>
      </c>
      <c r="F575" s="3">
        <v>64460</v>
      </c>
    </row>
    <row r="576" spans="1:6" x14ac:dyDescent="0.3">
      <c r="A576">
        <v>2019</v>
      </c>
      <c r="B576" t="s">
        <v>55</v>
      </c>
      <c r="C576" t="s">
        <v>53</v>
      </c>
      <c r="D576" s="2">
        <v>14823</v>
      </c>
      <c r="E576" s="2">
        <v>124384</v>
      </c>
      <c r="F576" s="3">
        <v>63874</v>
      </c>
    </row>
    <row r="577" spans="1:6" x14ac:dyDescent="0.3">
      <c r="A577">
        <v>2019</v>
      </c>
      <c r="B577" t="s">
        <v>55</v>
      </c>
      <c r="C577" t="s">
        <v>54</v>
      </c>
      <c r="D577" s="2">
        <v>3427</v>
      </c>
      <c r="E577" s="2">
        <v>22875</v>
      </c>
      <c r="F577" s="3">
        <v>57417</v>
      </c>
    </row>
    <row r="578" spans="1:6" x14ac:dyDescent="0.3">
      <c r="A578">
        <v>2019</v>
      </c>
      <c r="B578" t="s">
        <v>56</v>
      </c>
      <c r="C578" t="s">
        <v>7</v>
      </c>
      <c r="D578" s="2">
        <v>5677</v>
      </c>
      <c r="E578" s="2">
        <v>268948</v>
      </c>
      <c r="F578" s="3">
        <v>58532</v>
      </c>
    </row>
    <row r="579" spans="1:6" x14ac:dyDescent="0.3">
      <c r="A579">
        <v>2019</v>
      </c>
      <c r="B579" t="s">
        <v>56</v>
      </c>
      <c r="C579" t="s">
        <v>8</v>
      </c>
      <c r="D579" s="2">
        <v>5157</v>
      </c>
      <c r="E579" s="2">
        <v>177610</v>
      </c>
      <c r="F579" s="3">
        <v>78966</v>
      </c>
    </row>
    <row r="580" spans="1:6" x14ac:dyDescent="0.3">
      <c r="A580">
        <v>2019</v>
      </c>
      <c r="B580" t="s">
        <v>56</v>
      </c>
      <c r="C580" t="s">
        <v>9</v>
      </c>
      <c r="D580" s="2">
        <v>2930</v>
      </c>
      <c r="E580" s="2">
        <v>162214</v>
      </c>
      <c r="F580" s="3">
        <v>49202</v>
      </c>
    </row>
    <row r="581" spans="1:6" x14ac:dyDescent="0.3">
      <c r="A581">
        <v>2019</v>
      </c>
      <c r="B581" t="s">
        <v>56</v>
      </c>
      <c r="C581" t="s">
        <v>10</v>
      </c>
      <c r="D581" s="2">
        <v>44539</v>
      </c>
      <c r="E581" s="2">
        <v>1322455</v>
      </c>
      <c r="F581" s="3">
        <v>98222</v>
      </c>
    </row>
    <row r="582" spans="1:6" x14ac:dyDescent="0.3">
      <c r="A582">
        <v>2019</v>
      </c>
      <c r="B582" t="s">
        <v>56</v>
      </c>
      <c r="C582" t="s">
        <v>11</v>
      </c>
      <c r="D582" s="2">
        <v>5849</v>
      </c>
      <c r="E582" s="2">
        <v>150109</v>
      </c>
      <c r="F582" s="3">
        <v>73935</v>
      </c>
    </row>
    <row r="583" spans="1:6" x14ac:dyDescent="0.3">
      <c r="A583">
        <v>2019</v>
      </c>
      <c r="B583" t="s">
        <v>56</v>
      </c>
      <c r="C583" t="s">
        <v>12</v>
      </c>
      <c r="D583" s="2">
        <v>4405</v>
      </c>
      <c r="E583" s="2">
        <v>161899</v>
      </c>
      <c r="F583" s="3">
        <v>85024</v>
      </c>
    </row>
    <row r="584" spans="1:6" x14ac:dyDescent="0.3">
      <c r="A584">
        <v>2019</v>
      </c>
      <c r="B584" t="s">
        <v>56</v>
      </c>
      <c r="C584" t="s">
        <v>13</v>
      </c>
      <c r="D584">
        <v>663</v>
      </c>
      <c r="E584" s="2">
        <v>27298</v>
      </c>
      <c r="F584" s="3">
        <v>66194</v>
      </c>
    </row>
    <row r="585" spans="1:6" x14ac:dyDescent="0.3">
      <c r="A585">
        <v>2019</v>
      </c>
      <c r="B585" t="s">
        <v>56</v>
      </c>
      <c r="C585" t="s">
        <v>14</v>
      </c>
      <c r="D585" s="2">
        <v>20799</v>
      </c>
      <c r="E585" s="2">
        <v>383956</v>
      </c>
      <c r="F585" s="3">
        <v>63877</v>
      </c>
    </row>
    <row r="586" spans="1:6" x14ac:dyDescent="0.3">
      <c r="A586">
        <v>2019</v>
      </c>
      <c r="B586" t="s">
        <v>56</v>
      </c>
      <c r="C586" t="s">
        <v>15</v>
      </c>
      <c r="D586" s="2">
        <v>10066</v>
      </c>
      <c r="E586" s="2">
        <v>404085</v>
      </c>
      <c r="F586" s="3">
        <v>58246</v>
      </c>
    </row>
    <row r="587" spans="1:6" x14ac:dyDescent="0.3">
      <c r="A587">
        <v>2019</v>
      </c>
      <c r="B587" t="s">
        <v>56</v>
      </c>
      <c r="C587" t="s">
        <v>16</v>
      </c>
      <c r="D587" s="2">
        <v>2680</v>
      </c>
      <c r="E587" s="2">
        <v>68404</v>
      </c>
      <c r="F587" s="3">
        <v>62480</v>
      </c>
    </row>
    <row r="588" spans="1:6" x14ac:dyDescent="0.3">
      <c r="A588">
        <v>2019</v>
      </c>
      <c r="B588" t="s">
        <v>56</v>
      </c>
      <c r="C588" t="s">
        <v>17</v>
      </c>
      <c r="D588" s="2">
        <v>18066</v>
      </c>
      <c r="E588" s="2">
        <v>585894</v>
      </c>
      <c r="F588" s="3">
        <v>72819</v>
      </c>
    </row>
    <row r="589" spans="1:6" x14ac:dyDescent="0.3">
      <c r="A589">
        <v>2019</v>
      </c>
      <c r="B589" t="s">
        <v>56</v>
      </c>
      <c r="C589" t="s">
        <v>18</v>
      </c>
      <c r="D589" s="2">
        <v>9083</v>
      </c>
      <c r="E589" s="2">
        <v>541099</v>
      </c>
      <c r="F589" s="3">
        <v>63320</v>
      </c>
    </row>
    <row r="590" spans="1:6" x14ac:dyDescent="0.3">
      <c r="A590">
        <v>2019</v>
      </c>
      <c r="B590" t="s">
        <v>56</v>
      </c>
      <c r="C590" t="s">
        <v>19</v>
      </c>
      <c r="D590" s="2">
        <v>4132</v>
      </c>
      <c r="E590" s="2">
        <v>226152</v>
      </c>
      <c r="F590" s="3">
        <v>60185</v>
      </c>
    </row>
    <row r="591" spans="1:6" x14ac:dyDescent="0.3">
      <c r="A591">
        <v>2019</v>
      </c>
      <c r="B591" t="s">
        <v>56</v>
      </c>
      <c r="C591" t="s">
        <v>20</v>
      </c>
      <c r="D591" s="2">
        <v>3105</v>
      </c>
      <c r="E591" s="2">
        <v>167196</v>
      </c>
      <c r="F591" s="3">
        <v>59652</v>
      </c>
    </row>
    <row r="592" spans="1:6" x14ac:dyDescent="0.3">
      <c r="A592">
        <v>2019</v>
      </c>
      <c r="B592" t="s">
        <v>56</v>
      </c>
      <c r="C592" t="s">
        <v>21</v>
      </c>
      <c r="D592" s="2">
        <v>4583</v>
      </c>
      <c r="E592" s="2">
        <v>252626</v>
      </c>
      <c r="F592" s="3">
        <v>61167</v>
      </c>
    </row>
    <row r="593" spans="1:6" x14ac:dyDescent="0.3">
      <c r="A593">
        <v>2019</v>
      </c>
      <c r="B593" t="s">
        <v>56</v>
      </c>
      <c r="C593" t="s">
        <v>22</v>
      </c>
      <c r="D593" s="2">
        <v>4453</v>
      </c>
      <c r="E593" s="2">
        <v>137729</v>
      </c>
      <c r="F593" s="3">
        <v>77600</v>
      </c>
    </row>
    <row r="594" spans="1:6" x14ac:dyDescent="0.3">
      <c r="A594">
        <v>2019</v>
      </c>
      <c r="B594" t="s">
        <v>56</v>
      </c>
      <c r="C594" t="s">
        <v>23</v>
      </c>
      <c r="D594" s="2">
        <v>1870</v>
      </c>
      <c r="E594" s="2">
        <v>53047</v>
      </c>
      <c r="F594" s="3">
        <v>57227</v>
      </c>
    </row>
    <row r="595" spans="1:6" x14ac:dyDescent="0.3">
      <c r="A595">
        <v>2019</v>
      </c>
      <c r="B595" t="s">
        <v>56</v>
      </c>
      <c r="C595" t="s">
        <v>24</v>
      </c>
      <c r="D595" s="2">
        <v>4145</v>
      </c>
      <c r="E595" s="2">
        <v>112273</v>
      </c>
      <c r="F595" s="3">
        <v>79016</v>
      </c>
    </row>
    <row r="596" spans="1:6" x14ac:dyDescent="0.3">
      <c r="A596">
        <v>2019</v>
      </c>
      <c r="B596" t="s">
        <v>56</v>
      </c>
      <c r="C596" t="s">
        <v>25</v>
      </c>
      <c r="D596" s="2">
        <v>6682</v>
      </c>
      <c r="E596" s="2">
        <v>244258</v>
      </c>
      <c r="F596" s="3">
        <v>89698</v>
      </c>
    </row>
    <row r="597" spans="1:6" x14ac:dyDescent="0.3">
      <c r="A597">
        <v>2019</v>
      </c>
      <c r="B597" t="s">
        <v>56</v>
      </c>
      <c r="C597" t="s">
        <v>26</v>
      </c>
      <c r="D597" s="2">
        <v>16948</v>
      </c>
      <c r="E597" s="2">
        <v>625676</v>
      </c>
      <c r="F597" s="3">
        <v>68465</v>
      </c>
    </row>
    <row r="598" spans="1:6" x14ac:dyDescent="0.3">
      <c r="A598">
        <v>2019</v>
      </c>
      <c r="B598" t="s">
        <v>56</v>
      </c>
      <c r="C598" t="s">
        <v>27</v>
      </c>
      <c r="D598" s="2">
        <v>8265</v>
      </c>
      <c r="E598" s="2">
        <v>324018</v>
      </c>
      <c r="F598" s="3">
        <v>68082</v>
      </c>
    </row>
    <row r="599" spans="1:6" x14ac:dyDescent="0.3">
      <c r="A599">
        <v>2019</v>
      </c>
      <c r="B599" t="s">
        <v>56</v>
      </c>
      <c r="C599" t="s">
        <v>28</v>
      </c>
      <c r="D599" s="2">
        <v>2396</v>
      </c>
      <c r="E599" s="2">
        <v>146775</v>
      </c>
      <c r="F599" s="3">
        <v>50065</v>
      </c>
    </row>
    <row r="600" spans="1:6" x14ac:dyDescent="0.3">
      <c r="A600">
        <v>2019</v>
      </c>
      <c r="B600" t="s">
        <v>56</v>
      </c>
      <c r="C600" t="s">
        <v>29</v>
      </c>
      <c r="D600" s="2">
        <v>6681</v>
      </c>
      <c r="E600" s="2">
        <v>277104</v>
      </c>
      <c r="F600" s="3">
        <v>59758</v>
      </c>
    </row>
    <row r="601" spans="1:6" x14ac:dyDescent="0.3">
      <c r="A601">
        <v>2019</v>
      </c>
      <c r="B601" t="s">
        <v>56</v>
      </c>
      <c r="C601" t="s">
        <v>30</v>
      </c>
      <c r="D601" s="2">
        <v>1625</v>
      </c>
      <c r="E601" s="2">
        <v>20972</v>
      </c>
      <c r="F601" s="3">
        <v>51666</v>
      </c>
    </row>
    <row r="602" spans="1:6" x14ac:dyDescent="0.3">
      <c r="A602">
        <v>2019</v>
      </c>
      <c r="B602" t="s">
        <v>56</v>
      </c>
      <c r="C602" t="s">
        <v>31</v>
      </c>
      <c r="D602" s="2">
        <v>1974</v>
      </c>
      <c r="E602" s="2">
        <v>99914</v>
      </c>
      <c r="F602" s="3">
        <v>52716</v>
      </c>
    </row>
    <row r="603" spans="1:6" x14ac:dyDescent="0.3">
      <c r="A603">
        <v>2019</v>
      </c>
      <c r="B603" t="s">
        <v>56</v>
      </c>
      <c r="C603" t="s">
        <v>32</v>
      </c>
      <c r="D603" s="2">
        <v>2069</v>
      </c>
      <c r="E603" s="2">
        <v>59279</v>
      </c>
      <c r="F603" s="3">
        <v>59498</v>
      </c>
    </row>
    <row r="604" spans="1:6" x14ac:dyDescent="0.3">
      <c r="A604">
        <v>2019</v>
      </c>
      <c r="B604" t="s">
        <v>56</v>
      </c>
      <c r="C604" t="s">
        <v>33</v>
      </c>
      <c r="D604" s="2">
        <v>2012</v>
      </c>
      <c r="E604" s="2">
        <v>71459</v>
      </c>
      <c r="F604" s="3">
        <v>73007</v>
      </c>
    </row>
    <row r="605" spans="1:6" x14ac:dyDescent="0.3">
      <c r="A605">
        <v>2019</v>
      </c>
      <c r="B605" t="s">
        <v>56</v>
      </c>
      <c r="C605" t="s">
        <v>34</v>
      </c>
      <c r="D605" s="2">
        <v>8994</v>
      </c>
      <c r="E605" s="2">
        <v>249464</v>
      </c>
      <c r="F605" s="3">
        <v>81649</v>
      </c>
    </row>
    <row r="606" spans="1:6" x14ac:dyDescent="0.3">
      <c r="A606">
        <v>2019</v>
      </c>
      <c r="B606" t="s">
        <v>56</v>
      </c>
      <c r="C606" t="s">
        <v>35</v>
      </c>
      <c r="D606" s="2">
        <v>1810</v>
      </c>
      <c r="E606" s="2">
        <v>28514</v>
      </c>
      <c r="F606" s="3">
        <v>55737</v>
      </c>
    </row>
    <row r="607" spans="1:6" x14ac:dyDescent="0.3">
      <c r="A607">
        <v>2019</v>
      </c>
      <c r="B607" t="s">
        <v>56</v>
      </c>
      <c r="C607" t="s">
        <v>36</v>
      </c>
      <c r="D607" s="2">
        <v>16457</v>
      </c>
      <c r="E607" s="2">
        <v>437040</v>
      </c>
      <c r="F607" s="3">
        <v>69154</v>
      </c>
    </row>
    <row r="608" spans="1:6" x14ac:dyDescent="0.3">
      <c r="A608">
        <v>2019</v>
      </c>
      <c r="B608" t="s">
        <v>56</v>
      </c>
      <c r="C608" t="s">
        <v>37</v>
      </c>
      <c r="D608" s="2">
        <v>10247</v>
      </c>
      <c r="E608" s="2">
        <v>477086</v>
      </c>
      <c r="F608" s="3">
        <v>61095</v>
      </c>
    </row>
    <row r="609" spans="1:6" x14ac:dyDescent="0.3">
      <c r="A609">
        <v>2019</v>
      </c>
      <c r="B609" t="s">
        <v>56</v>
      </c>
      <c r="C609" t="s">
        <v>38</v>
      </c>
      <c r="D609">
        <v>808</v>
      </c>
      <c r="E609" s="2">
        <v>26471</v>
      </c>
      <c r="F609" s="3">
        <v>55179</v>
      </c>
    </row>
    <row r="610" spans="1:6" x14ac:dyDescent="0.3">
      <c r="A610">
        <v>2019</v>
      </c>
      <c r="B610" t="s">
        <v>56</v>
      </c>
      <c r="C610" t="s">
        <v>39</v>
      </c>
      <c r="D610" s="2">
        <v>15486</v>
      </c>
      <c r="E610" s="2">
        <v>700786</v>
      </c>
      <c r="F610" s="3">
        <v>62878</v>
      </c>
    </row>
    <row r="611" spans="1:6" x14ac:dyDescent="0.3">
      <c r="A611">
        <v>2019</v>
      </c>
      <c r="B611" t="s">
        <v>56</v>
      </c>
      <c r="C611" t="s">
        <v>40</v>
      </c>
      <c r="D611" s="2">
        <v>4213</v>
      </c>
      <c r="E611" s="2">
        <v>140812</v>
      </c>
      <c r="F611" s="3">
        <v>59951</v>
      </c>
    </row>
    <row r="612" spans="1:6" x14ac:dyDescent="0.3">
      <c r="A612">
        <v>2019</v>
      </c>
      <c r="B612" t="s">
        <v>56</v>
      </c>
      <c r="C612" t="s">
        <v>41</v>
      </c>
      <c r="D612" s="2">
        <v>6396</v>
      </c>
      <c r="E612" s="2">
        <v>197626</v>
      </c>
      <c r="F612" s="3">
        <v>71436</v>
      </c>
    </row>
    <row r="613" spans="1:6" x14ac:dyDescent="0.3">
      <c r="A613">
        <v>2019</v>
      </c>
      <c r="B613" t="s">
        <v>56</v>
      </c>
      <c r="C613" t="s">
        <v>42</v>
      </c>
      <c r="D613" s="2">
        <v>14432</v>
      </c>
      <c r="E613" s="2">
        <v>574751</v>
      </c>
      <c r="F613" s="3">
        <v>64231</v>
      </c>
    </row>
    <row r="614" spans="1:6" x14ac:dyDescent="0.3">
      <c r="A614">
        <v>2019</v>
      </c>
      <c r="B614" t="s">
        <v>56</v>
      </c>
      <c r="C614" t="s">
        <v>43</v>
      </c>
      <c r="D614" s="2">
        <v>1636</v>
      </c>
      <c r="E614" s="2">
        <v>39736</v>
      </c>
      <c r="F614" s="3">
        <v>60286</v>
      </c>
    </row>
    <row r="615" spans="1:6" x14ac:dyDescent="0.3">
      <c r="A615">
        <v>2019</v>
      </c>
      <c r="B615" t="s">
        <v>56</v>
      </c>
      <c r="C615" t="s">
        <v>44</v>
      </c>
      <c r="D615" s="2">
        <v>6414</v>
      </c>
      <c r="E615" s="2">
        <v>258252</v>
      </c>
      <c r="F615" s="3">
        <v>60850</v>
      </c>
    </row>
    <row r="616" spans="1:6" x14ac:dyDescent="0.3">
      <c r="A616">
        <v>2019</v>
      </c>
      <c r="B616" t="s">
        <v>56</v>
      </c>
      <c r="C616" t="s">
        <v>45</v>
      </c>
      <c r="D616" s="2">
        <v>1067</v>
      </c>
      <c r="E616" s="2">
        <v>44972</v>
      </c>
      <c r="F616" s="3">
        <v>50219</v>
      </c>
    </row>
    <row r="617" spans="1:6" x14ac:dyDescent="0.3">
      <c r="A617">
        <v>2019</v>
      </c>
      <c r="B617" t="s">
        <v>56</v>
      </c>
      <c r="C617" t="s">
        <v>46</v>
      </c>
      <c r="D617" s="2">
        <v>7272</v>
      </c>
      <c r="E617" s="2">
        <v>354961</v>
      </c>
      <c r="F617" s="3">
        <v>60305</v>
      </c>
    </row>
    <row r="618" spans="1:6" x14ac:dyDescent="0.3">
      <c r="A618">
        <v>2019</v>
      </c>
      <c r="B618" t="s">
        <v>56</v>
      </c>
      <c r="C618" t="s">
        <v>47</v>
      </c>
      <c r="D618" s="2">
        <v>25577</v>
      </c>
      <c r="E618" s="2">
        <v>905953</v>
      </c>
      <c r="F618" s="3">
        <v>79766</v>
      </c>
    </row>
    <row r="619" spans="1:6" x14ac:dyDescent="0.3">
      <c r="A619">
        <v>2019</v>
      </c>
      <c r="B619" t="s">
        <v>56</v>
      </c>
      <c r="C619" t="s">
        <v>48</v>
      </c>
      <c r="D619" s="2">
        <v>4547</v>
      </c>
      <c r="E619" s="2">
        <v>136085</v>
      </c>
      <c r="F619" s="3">
        <v>59426</v>
      </c>
    </row>
    <row r="620" spans="1:6" x14ac:dyDescent="0.3">
      <c r="A620">
        <v>2019</v>
      </c>
      <c r="B620" t="s">
        <v>56</v>
      </c>
      <c r="C620" t="s">
        <v>49</v>
      </c>
      <c r="D620" s="2">
        <v>1108</v>
      </c>
      <c r="E620" s="2">
        <v>30091</v>
      </c>
      <c r="F620" s="3">
        <v>60807</v>
      </c>
    </row>
    <row r="621" spans="1:6" x14ac:dyDescent="0.3">
      <c r="A621">
        <v>2019</v>
      </c>
      <c r="B621" t="s">
        <v>56</v>
      </c>
      <c r="C621" t="s">
        <v>50</v>
      </c>
      <c r="D621" s="2">
        <v>6864</v>
      </c>
      <c r="E621" s="2">
        <v>242160</v>
      </c>
      <c r="F621" s="3">
        <v>61341</v>
      </c>
    </row>
    <row r="622" spans="1:6" x14ac:dyDescent="0.3">
      <c r="A622">
        <v>2019</v>
      </c>
      <c r="B622" t="s">
        <v>56</v>
      </c>
      <c r="C622" t="s">
        <v>51</v>
      </c>
      <c r="D622" s="2">
        <v>7824</v>
      </c>
      <c r="E622" s="2">
        <v>290326</v>
      </c>
      <c r="F622" s="3">
        <v>81228</v>
      </c>
    </row>
    <row r="623" spans="1:6" x14ac:dyDescent="0.3">
      <c r="A623">
        <v>2019</v>
      </c>
      <c r="B623" t="s">
        <v>56</v>
      </c>
      <c r="C623" t="s">
        <v>52</v>
      </c>
      <c r="D623" s="2">
        <v>1251</v>
      </c>
      <c r="E623" s="2">
        <v>46979</v>
      </c>
      <c r="F623" s="3">
        <v>61074</v>
      </c>
    </row>
    <row r="624" spans="1:6" x14ac:dyDescent="0.3">
      <c r="A624">
        <v>2019</v>
      </c>
      <c r="B624" t="s">
        <v>56</v>
      </c>
      <c r="C624" t="s">
        <v>53</v>
      </c>
      <c r="D624" s="2">
        <v>9333</v>
      </c>
      <c r="E624" s="2">
        <v>483196</v>
      </c>
      <c r="F624" s="3">
        <v>59083</v>
      </c>
    </row>
    <row r="625" spans="1:6" x14ac:dyDescent="0.3">
      <c r="A625">
        <v>2019</v>
      </c>
      <c r="B625" t="s">
        <v>56</v>
      </c>
      <c r="C625" t="s">
        <v>54</v>
      </c>
      <c r="D625">
        <v>615</v>
      </c>
      <c r="E625" s="2">
        <v>10043</v>
      </c>
      <c r="F625" s="3">
        <v>68738</v>
      </c>
    </row>
    <row r="626" spans="1:6" x14ac:dyDescent="0.3">
      <c r="A626">
        <v>2019</v>
      </c>
      <c r="B626" t="s">
        <v>57</v>
      </c>
      <c r="C626" t="s">
        <v>7</v>
      </c>
      <c r="D626" s="2">
        <v>32423</v>
      </c>
      <c r="E626" s="2">
        <v>380193</v>
      </c>
      <c r="F626" s="3">
        <v>43426</v>
      </c>
    </row>
    <row r="627" spans="1:6" x14ac:dyDescent="0.3">
      <c r="A627">
        <v>2019</v>
      </c>
      <c r="B627" t="s">
        <v>57</v>
      </c>
      <c r="C627" t="s">
        <v>8</v>
      </c>
      <c r="D627" s="2">
        <v>33190</v>
      </c>
      <c r="E627" s="2">
        <v>541793</v>
      </c>
      <c r="F627" s="3">
        <v>48023</v>
      </c>
    </row>
    <row r="628" spans="1:6" x14ac:dyDescent="0.3">
      <c r="A628">
        <v>2019</v>
      </c>
      <c r="B628" t="s">
        <v>57</v>
      </c>
      <c r="C628" t="s">
        <v>9</v>
      </c>
      <c r="D628" s="2">
        <v>21821</v>
      </c>
      <c r="E628" s="2">
        <v>248631</v>
      </c>
      <c r="F628" s="3">
        <v>42897</v>
      </c>
    </row>
    <row r="629" spans="1:6" x14ac:dyDescent="0.3">
      <c r="A629">
        <v>2019</v>
      </c>
      <c r="B629" t="s">
        <v>57</v>
      </c>
      <c r="C629" t="s">
        <v>10</v>
      </c>
      <c r="D629" s="2">
        <v>198955</v>
      </c>
      <c r="E629" s="2">
        <v>3042089</v>
      </c>
      <c r="F629" s="3">
        <v>54908</v>
      </c>
    </row>
    <row r="630" spans="1:6" x14ac:dyDescent="0.3">
      <c r="A630">
        <v>2019</v>
      </c>
      <c r="B630" t="s">
        <v>57</v>
      </c>
      <c r="C630" t="s">
        <v>11</v>
      </c>
      <c r="D630" s="2">
        <v>36041</v>
      </c>
      <c r="E630" s="2">
        <v>474011</v>
      </c>
      <c r="F630" s="3">
        <v>52675</v>
      </c>
    </row>
    <row r="631" spans="1:6" x14ac:dyDescent="0.3">
      <c r="A631">
        <v>2019</v>
      </c>
      <c r="B631" t="s">
        <v>57</v>
      </c>
      <c r="C631" t="s">
        <v>12</v>
      </c>
      <c r="D631" s="2">
        <v>24868</v>
      </c>
      <c r="E631" s="2">
        <v>291966</v>
      </c>
      <c r="F631" s="3">
        <v>52540</v>
      </c>
    </row>
    <row r="632" spans="1:6" x14ac:dyDescent="0.3">
      <c r="A632">
        <v>2019</v>
      </c>
      <c r="B632" t="s">
        <v>57</v>
      </c>
      <c r="C632" t="s">
        <v>13</v>
      </c>
      <c r="D632" s="2">
        <v>7005</v>
      </c>
      <c r="E632" s="2">
        <v>79487</v>
      </c>
      <c r="F632" s="3">
        <v>42440</v>
      </c>
    </row>
    <row r="633" spans="1:6" x14ac:dyDescent="0.3">
      <c r="A633">
        <v>2019</v>
      </c>
      <c r="B633" t="s">
        <v>57</v>
      </c>
      <c r="C633" t="s">
        <v>14</v>
      </c>
      <c r="D633" s="2">
        <v>140278</v>
      </c>
      <c r="E633" s="2">
        <v>1799930</v>
      </c>
      <c r="F633" s="3">
        <v>46232</v>
      </c>
    </row>
    <row r="634" spans="1:6" x14ac:dyDescent="0.3">
      <c r="A634">
        <v>2019</v>
      </c>
      <c r="B634" t="s">
        <v>57</v>
      </c>
      <c r="C634" t="s">
        <v>15</v>
      </c>
      <c r="D634" s="2">
        <v>61774</v>
      </c>
      <c r="E634" s="2">
        <v>938063</v>
      </c>
      <c r="F634" s="3">
        <v>49817</v>
      </c>
    </row>
    <row r="635" spans="1:6" x14ac:dyDescent="0.3">
      <c r="A635">
        <v>2019</v>
      </c>
      <c r="B635" t="s">
        <v>57</v>
      </c>
      <c r="C635" t="s">
        <v>16</v>
      </c>
      <c r="D635" s="2">
        <v>11892</v>
      </c>
      <c r="E635" s="2">
        <v>142186</v>
      </c>
      <c r="F635" s="3">
        <v>41533</v>
      </c>
    </row>
    <row r="636" spans="1:6" x14ac:dyDescent="0.3">
      <c r="A636">
        <v>2019</v>
      </c>
      <c r="B636" t="s">
        <v>57</v>
      </c>
      <c r="C636" t="s">
        <v>17</v>
      </c>
      <c r="D636" s="2">
        <v>78822</v>
      </c>
      <c r="E636" s="2">
        <v>1187941</v>
      </c>
      <c r="F636" s="3">
        <v>53573</v>
      </c>
    </row>
    <row r="637" spans="1:6" x14ac:dyDescent="0.3">
      <c r="A637">
        <v>2019</v>
      </c>
      <c r="B637" t="s">
        <v>57</v>
      </c>
      <c r="C637" t="s">
        <v>18</v>
      </c>
      <c r="D637" s="2">
        <v>40283</v>
      </c>
      <c r="E637" s="2">
        <v>594348</v>
      </c>
      <c r="F637" s="3">
        <v>43345</v>
      </c>
    </row>
    <row r="638" spans="1:6" x14ac:dyDescent="0.3">
      <c r="A638">
        <v>2019</v>
      </c>
      <c r="B638" t="s">
        <v>57</v>
      </c>
      <c r="C638" t="s">
        <v>19</v>
      </c>
      <c r="D638" s="2">
        <v>23557</v>
      </c>
      <c r="E638" s="2">
        <v>307822</v>
      </c>
      <c r="F638" s="3">
        <v>41407</v>
      </c>
    </row>
    <row r="639" spans="1:6" x14ac:dyDescent="0.3">
      <c r="A639">
        <v>2019</v>
      </c>
      <c r="B639" t="s">
        <v>57</v>
      </c>
      <c r="C639" t="s">
        <v>20</v>
      </c>
      <c r="D639" s="2">
        <v>19844</v>
      </c>
      <c r="E639" s="2">
        <v>262383</v>
      </c>
      <c r="F639" s="3">
        <v>43539</v>
      </c>
    </row>
    <row r="640" spans="1:6" x14ac:dyDescent="0.3">
      <c r="A640">
        <v>2019</v>
      </c>
      <c r="B640" t="s">
        <v>57</v>
      </c>
      <c r="C640" t="s">
        <v>21</v>
      </c>
      <c r="D640" s="2">
        <v>27892</v>
      </c>
      <c r="E640" s="2">
        <v>401804</v>
      </c>
      <c r="F640" s="3">
        <v>44163</v>
      </c>
    </row>
    <row r="641" spans="1:6" x14ac:dyDescent="0.3">
      <c r="A641">
        <v>2019</v>
      </c>
      <c r="B641" t="s">
        <v>57</v>
      </c>
      <c r="C641" t="s">
        <v>22</v>
      </c>
      <c r="D641" s="2">
        <v>30876</v>
      </c>
      <c r="E641" s="2">
        <v>376026</v>
      </c>
      <c r="F641" s="3">
        <v>43579</v>
      </c>
    </row>
    <row r="642" spans="1:6" x14ac:dyDescent="0.3">
      <c r="A642">
        <v>2019</v>
      </c>
      <c r="B642" t="s">
        <v>57</v>
      </c>
      <c r="C642" t="s">
        <v>23</v>
      </c>
      <c r="D642" s="2">
        <v>10676</v>
      </c>
      <c r="E642" s="2">
        <v>117746</v>
      </c>
      <c r="F642" s="3">
        <v>39115</v>
      </c>
    </row>
    <row r="643" spans="1:6" x14ac:dyDescent="0.3">
      <c r="A643">
        <v>2019</v>
      </c>
      <c r="B643" t="s">
        <v>57</v>
      </c>
      <c r="C643" t="s">
        <v>24</v>
      </c>
      <c r="D643" s="2">
        <v>32640</v>
      </c>
      <c r="E643" s="2">
        <v>463647</v>
      </c>
      <c r="F643" s="3">
        <v>47503</v>
      </c>
    </row>
    <row r="644" spans="1:6" x14ac:dyDescent="0.3">
      <c r="A644">
        <v>2019</v>
      </c>
      <c r="B644" t="s">
        <v>57</v>
      </c>
      <c r="C644" t="s">
        <v>25</v>
      </c>
      <c r="D644" s="2">
        <v>41620</v>
      </c>
      <c r="E644" s="2">
        <v>577282</v>
      </c>
      <c r="F644" s="3">
        <v>55423</v>
      </c>
    </row>
    <row r="645" spans="1:6" x14ac:dyDescent="0.3">
      <c r="A645">
        <v>2019</v>
      </c>
      <c r="B645" t="s">
        <v>57</v>
      </c>
      <c r="C645" t="s">
        <v>26</v>
      </c>
      <c r="D645" s="2">
        <v>55150</v>
      </c>
      <c r="E645" s="2">
        <v>791177</v>
      </c>
      <c r="F645" s="3">
        <v>48357</v>
      </c>
    </row>
    <row r="646" spans="1:6" x14ac:dyDescent="0.3">
      <c r="A646">
        <v>2019</v>
      </c>
      <c r="B646" t="s">
        <v>57</v>
      </c>
      <c r="C646" t="s">
        <v>27</v>
      </c>
      <c r="D646" s="2">
        <v>37323</v>
      </c>
      <c r="E646" s="2">
        <v>525857</v>
      </c>
      <c r="F646" s="3">
        <v>50523</v>
      </c>
    </row>
    <row r="647" spans="1:6" x14ac:dyDescent="0.3">
      <c r="A647">
        <v>2019</v>
      </c>
      <c r="B647" t="s">
        <v>57</v>
      </c>
      <c r="C647" t="s">
        <v>28</v>
      </c>
      <c r="D647" s="2">
        <v>19568</v>
      </c>
      <c r="E647" s="2">
        <v>229039</v>
      </c>
      <c r="F647" s="3">
        <v>37621</v>
      </c>
    </row>
    <row r="648" spans="1:6" x14ac:dyDescent="0.3">
      <c r="A648">
        <v>2019</v>
      </c>
      <c r="B648" t="s">
        <v>57</v>
      </c>
      <c r="C648" t="s">
        <v>29</v>
      </c>
      <c r="D648" s="2">
        <v>39400</v>
      </c>
      <c r="E648" s="2">
        <v>536753</v>
      </c>
      <c r="F648" s="3">
        <v>43646</v>
      </c>
    </row>
    <row r="649" spans="1:6" x14ac:dyDescent="0.3">
      <c r="A649">
        <v>2019</v>
      </c>
      <c r="B649" t="s">
        <v>57</v>
      </c>
      <c r="C649" t="s">
        <v>30</v>
      </c>
      <c r="D649" s="2">
        <v>9112</v>
      </c>
      <c r="E649" s="2">
        <v>90946</v>
      </c>
      <c r="F649" s="3">
        <v>40937</v>
      </c>
    </row>
    <row r="650" spans="1:6" x14ac:dyDescent="0.3">
      <c r="A650">
        <v>2019</v>
      </c>
      <c r="B650" t="s">
        <v>57</v>
      </c>
      <c r="C650" t="s">
        <v>31</v>
      </c>
      <c r="D650" s="2">
        <v>14969</v>
      </c>
      <c r="E650" s="2">
        <v>188094</v>
      </c>
      <c r="F650" s="3">
        <v>41557</v>
      </c>
    </row>
    <row r="651" spans="1:6" x14ac:dyDescent="0.3">
      <c r="A651">
        <v>2019</v>
      </c>
      <c r="B651" t="s">
        <v>57</v>
      </c>
      <c r="C651" t="s">
        <v>32</v>
      </c>
      <c r="D651" s="2">
        <v>15866</v>
      </c>
      <c r="E651" s="2">
        <v>261018</v>
      </c>
      <c r="F651" s="3">
        <v>45452</v>
      </c>
    </row>
    <row r="652" spans="1:6" x14ac:dyDescent="0.3">
      <c r="A652">
        <v>2019</v>
      </c>
      <c r="B652" t="s">
        <v>57</v>
      </c>
      <c r="C652" t="s">
        <v>33</v>
      </c>
      <c r="D652" s="2">
        <v>12448</v>
      </c>
      <c r="E652" s="2">
        <v>139278</v>
      </c>
      <c r="F652" s="3">
        <v>49409</v>
      </c>
    </row>
    <row r="653" spans="1:6" x14ac:dyDescent="0.3">
      <c r="A653">
        <v>2019</v>
      </c>
      <c r="B653" t="s">
        <v>57</v>
      </c>
      <c r="C653" t="s">
        <v>34</v>
      </c>
      <c r="D653" s="2">
        <v>54227</v>
      </c>
      <c r="E653" s="2">
        <v>876452</v>
      </c>
      <c r="F653" s="3">
        <v>55204</v>
      </c>
    </row>
    <row r="654" spans="1:6" x14ac:dyDescent="0.3">
      <c r="A654">
        <v>2019</v>
      </c>
      <c r="B654" t="s">
        <v>57</v>
      </c>
      <c r="C654" t="s">
        <v>35</v>
      </c>
      <c r="D654" s="2">
        <v>10974</v>
      </c>
      <c r="E654" s="2">
        <v>135131</v>
      </c>
      <c r="F654" s="3">
        <v>39275</v>
      </c>
    </row>
    <row r="655" spans="1:6" x14ac:dyDescent="0.3">
      <c r="A655">
        <v>2019</v>
      </c>
      <c r="B655" t="s">
        <v>57</v>
      </c>
      <c r="C655" t="s">
        <v>36</v>
      </c>
      <c r="D655" s="2">
        <v>120950</v>
      </c>
      <c r="E655" s="2">
        <v>1543991</v>
      </c>
      <c r="F655" s="3">
        <v>53710</v>
      </c>
    </row>
    <row r="656" spans="1:6" x14ac:dyDescent="0.3">
      <c r="A656">
        <v>2019</v>
      </c>
      <c r="B656" t="s">
        <v>57</v>
      </c>
      <c r="C656" t="s">
        <v>37</v>
      </c>
      <c r="D656" s="2">
        <v>62397</v>
      </c>
      <c r="E656" s="2">
        <v>846177</v>
      </c>
      <c r="F656" s="3">
        <v>44579</v>
      </c>
    </row>
    <row r="657" spans="1:6" x14ac:dyDescent="0.3">
      <c r="A657">
        <v>2019</v>
      </c>
      <c r="B657" t="s">
        <v>57</v>
      </c>
      <c r="C657" t="s">
        <v>38</v>
      </c>
      <c r="D657" s="2">
        <v>7738</v>
      </c>
      <c r="E657" s="2">
        <v>91333</v>
      </c>
      <c r="F657" s="3">
        <v>51925</v>
      </c>
    </row>
    <row r="658" spans="1:6" x14ac:dyDescent="0.3">
      <c r="A658">
        <v>2019</v>
      </c>
      <c r="B658" t="s">
        <v>57</v>
      </c>
      <c r="C658" t="s">
        <v>39</v>
      </c>
      <c r="D658" s="2">
        <v>68958</v>
      </c>
      <c r="E658" s="2">
        <v>1021890</v>
      </c>
      <c r="F658" s="3">
        <v>45569</v>
      </c>
    </row>
    <row r="659" spans="1:6" x14ac:dyDescent="0.3">
      <c r="A659">
        <v>2019</v>
      </c>
      <c r="B659" t="s">
        <v>57</v>
      </c>
      <c r="C659" t="s">
        <v>40</v>
      </c>
      <c r="D659" s="2">
        <v>23883</v>
      </c>
      <c r="E659" s="2">
        <v>300268</v>
      </c>
      <c r="F659" s="3">
        <v>43049</v>
      </c>
    </row>
    <row r="660" spans="1:6" x14ac:dyDescent="0.3">
      <c r="A660">
        <v>2019</v>
      </c>
      <c r="B660" t="s">
        <v>57</v>
      </c>
      <c r="C660" t="s">
        <v>41</v>
      </c>
      <c r="D660" s="2">
        <v>26460</v>
      </c>
      <c r="E660" s="2">
        <v>354168</v>
      </c>
      <c r="F660" s="3">
        <v>45879</v>
      </c>
    </row>
    <row r="661" spans="1:6" x14ac:dyDescent="0.3">
      <c r="A661">
        <v>2019</v>
      </c>
      <c r="B661" t="s">
        <v>57</v>
      </c>
      <c r="C661" t="s">
        <v>42</v>
      </c>
      <c r="D661" s="2">
        <v>74684</v>
      </c>
      <c r="E661" s="2">
        <v>1117033</v>
      </c>
      <c r="F661" s="3">
        <v>46296</v>
      </c>
    </row>
    <row r="662" spans="1:6" x14ac:dyDescent="0.3">
      <c r="A662">
        <v>2019</v>
      </c>
      <c r="B662" t="s">
        <v>57</v>
      </c>
      <c r="C662" t="s">
        <v>43</v>
      </c>
      <c r="D662" s="2">
        <v>7648</v>
      </c>
      <c r="E662" s="2">
        <v>76672</v>
      </c>
      <c r="F662" s="3">
        <v>45232</v>
      </c>
    </row>
    <row r="663" spans="1:6" x14ac:dyDescent="0.3">
      <c r="A663">
        <v>2019</v>
      </c>
      <c r="B663" t="s">
        <v>57</v>
      </c>
      <c r="C663" t="s">
        <v>44</v>
      </c>
      <c r="D663" s="2">
        <v>31073</v>
      </c>
      <c r="E663" s="2">
        <v>406455</v>
      </c>
      <c r="F663" s="3">
        <v>41048</v>
      </c>
    </row>
    <row r="664" spans="1:6" x14ac:dyDescent="0.3">
      <c r="A664">
        <v>2019</v>
      </c>
      <c r="B664" t="s">
        <v>57</v>
      </c>
      <c r="C664" t="s">
        <v>45</v>
      </c>
      <c r="D664" s="2">
        <v>8027</v>
      </c>
      <c r="E664" s="2">
        <v>85125</v>
      </c>
      <c r="F664" s="3">
        <v>40980</v>
      </c>
    </row>
    <row r="665" spans="1:6" x14ac:dyDescent="0.3">
      <c r="A665">
        <v>2019</v>
      </c>
      <c r="B665" t="s">
        <v>57</v>
      </c>
      <c r="C665" t="s">
        <v>46</v>
      </c>
      <c r="D665" s="2">
        <v>40380</v>
      </c>
      <c r="E665" s="2">
        <v>633819</v>
      </c>
      <c r="F665" s="3">
        <v>46991</v>
      </c>
    </row>
    <row r="666" spans="1:6" x14ac:dyDescent="0.3">
      <c r="A666">
        <v>2019</v>
      </c>
      <c r="B666" t="s">
        <v>57</v>
      </c>
      <c r="C666" t="s">
        <v>47</v>
      </c>
      <c r="D666" s="2">
        <v>150310</v>
      </c>
      <c r="E666" s="2">
        <v>2496193</v>
      </c>
      <c r="F666" s="3">
        <v>54323</v>
      </c>
    </row>
    <row r="667" spans="1:6" x14ac:dyDescent="0.3">
      <c r="A667">
        <v>2019</v>
      </c>
      <c r="B667" t="s">
        <v>57</v>
      </c>
      <c r="C667" t="s">
        <v>48</v>
      </c>
      <c r="D667" s="2">
        <v>20066</v>
      </c>
      <c r="E667" s="2">
        <v>289140</v>
      </c>
      <c r="F667" s="3">
        <v>45785</v>
      </c>
    </row>
    <row r="668" spans="1:6" x14ac:dyDescent="0.3">
      <c r="A668">
        <v>2019</v>
      </c>
      <c r="B668" t="s">
        <v>57</v>
      </c>
      <c r="C668" t="s">
        <v>49</v>
      </c>
      <c r="D668" s="2">
        <v>5040</v>
      </c>
      <c r="E668" s="2">
        <v>53817</v>
      </c>
      <c r="F668" s="3">
        <v>41456</v>
      </c>
    </row>
    <row r="669" spans="1:6" x14ac:dyDescent="0.3">
      <c r="A669">
        <v>2019</v>
      </c>
      <c r="B669" t="s">
        <v>57</v>
      </c>
      <c r="C669" t="s">
        <v>50</v>
      </c>
      <c r="D669" s="2">
        <v>42839</v>
      </c>
      <c r="E669" s="2">
        <v>650148</v>
      </c>
      <c r="F669" s="3">
        <v>45486</v>
      </c>
    </row>
    <row r="670" spans="1:6" x14ac:dyDescent="0.3">
      <c r="A670">
        <v>2019</v>
      </c>
      <c r="B670" t="s">
        <v>57</v>
      </c>
      <c r="C670" t="s">
        <v>51</v>
      </c>
      <c r="D670" s="2">
        <v>38692</v>
      </c>
      <c r="E670" s="2">
        <v>628543</v>
      </c>
      <c r="F670" s="3">
        <v>67312</v>
      </c>
    </row>
    <row r="671" spans="1:6" x14ac:dyDescent="0.3">
      <c r="A671">
        <v>2019</v>
      </c>
      <c r="B671" t="s">
        <v>57</v>
      </c>
      <c r="C671" t="s">
        <v>52</v>
      </c>
      <c r="D671" s="2">
        <v>10709</v>
      </c>
      <c r="E671" s="2">
        <v>125470</v>
      </c>
      <c r="F671" s="3">
        <v>40148</v>
      </c>
    </row>
    <row r="672" spans="1:6" x14ac:dyDescent="0.3">
      <c r="A672">
        <v>2019</v>
      </c>
      <c r="B672" t="s">
        <v>57</v>
      </c>
      <c r="C672" t="s">
        <v>53</v>
      </c>
      <c r="D672" s="2">
        <v>36253</v>
      </c>
      <c r="E672" s="2">
        <v>533175</v>
      </c>
      <c r="F672" s="3">
        <v>42647</v>
      </c>
    </row>
    <row r="673" spans="1:6" x14ac:dyDescent="0.3">
      <c r="A673">
        <v>2019</v>
      </c>
      <c r="B673" t="s">
        <v>57</v>
      </c>
      <c r="C673" t="s">
        <v>54</v>
      </c>
      <c r="D673" s="2">
        <v>4819</v>
      </c>
      <c r="E673" s="2">
        <v>49901</v>
      </c>
      <c r="F673" s="3">
        <v>44408</v>
      </c>
    </row>
    <row r="674" spans="1:6" x14ac:dyDescent="0.3">
      <c r="A674">
        <v>2019</v>
      </c>
      <c r="B674" t="s">
        <v>58</v>
      </c>
      <c r="C674" t="s">
        <v>7</v>
      </c>
      <c r="D674" s="2">
        <v>2309</v>
      </c>
      <c r="E674" s="2">
        <v>21296</v>
      </c>
      <c r="F674" s="3">
        <v>62845</v>
      </c>
    </row>
    <row r="675" spans="1:6" x14ac:dyDescent="0.3">
      <c r="A675">
        <v>2019</v>
      </c>
      <c r="B675" t="s">
        <v>58</v>
      </c>
      <c r="C675" t="s">
        <v>8</v>
      </c>
      <c r="D675" s="2">
        <v>3691</v>
      </c>
      <c r="E675" s="2">
        <v>49188</v>
      </c>
      <c r="F675" s="3">
        <v>77822</v>
      </c>
    </row>
    <row r="676" spans="1:6" x14ac:dyDescent="0.3">
      <c r="A676">
        <v>2019</v>
      </c>
      <c r="B676" t="s">
        <v>58</v>
      </c>
      <c r="C676" t="s">
        <v>9</v>
      </c>
      <c r="D676" s="2">
        <v>1303</v>
      </c>
      <c r="E676" s="2">
        <v>10974</v>
      </c>
      <c r="F676" s="3">
        <v>57981</v>
      </c>
    </row>
    <row r="677" spans="1:6" x14ac:dyDescent="0.3">
      <c r="A677">
        <v>2019</v>
      </c>
      <c r="B677" t="s">
        <v>58</v>
      </c>
      <c r="C677" t="s">
        <v>10</v>
      </c>
      <c r="D677" s="2">
        <v>28529</v>
      </c>
      <c r="E677" s="2">
        <v>550084</v>
      </c>
      <c r="F677" s="3">
        <v>191278</v>
      </c>
    </row>
    <row r="678" spans="1:6" x14ac:dyDescent="0.3">
      <c r="A678">
        <v>2019</v>
      </c>
      <c r="B678" t="s">
        <v>58</v>
      </c>
      <c r="C678" t="s">
        <v>11</v>
      </c>
      <c r="D678" s="2">
        <v>4330</v>
      </c>
      <c r="E678" s="2">
        <v>76292</v>
      </c>
      <c r="F678" s="3">
        <v>109380</v>
      </c>
    </row>
    <row r="679" spans="1:6" x14ac:dyDescent="0.3">
      <c r="A679">
        <v>2019</v>
      </c>
      <c r="B679" t="s">
        <v>58</v>
      </c>
      <c r="C679" t="s">
        <v>12</v>
      </c>
      <c r="D679" s="2">
        <v>2551</v>
      </c>
      <c r="E679" s="2">
        <v>31469</v>
      </c>
      <c r="F679" s="3">
        <v>120406</v>
      </c>
    </row>
    <row r="680" spans="1:6" x14ac:dyDescent="0.3">
      <c r="A680">
        <v>2019</v>
      </c>
      <c r="B680" t="s">
        <v>58</v>
      </c>
      <c r="C680" t="s">
        <v>13</v>
      </c>
      <c r="D680">
        <v>497</v>
      </c>
      <c r="E680" s="2">
        <v>3905</v>
      </c>
      <c r="F680" s="3">
        <v>70031</v>
      </c>
    </row>
    <row r="681" spans="1:6" x14ac:dyDescent="0.3">
      <c r="A681">
        <v>2019</v>
      </c>
      <c r="B681" t="s">
        <v>58</v>
      </c>
      <c r="C681" t="s">
        <v>14</v>
      </c>
      <c r="D681" s="2">
        <v>11744</v>
      </c>
      <c r="E681" s="2">
        <v>138845</v>
      </c>
      <c r="F681" s="3">
        <v>86153</v>
      </c>
    </row>
    <row r="682" spans="1:6" x14ac:dyDescent="0.3">
      <c r="A682">
        <v>2019</v>
      </c>
      <c r="B682" t="s">
        <v>58</v>
      </c>
      <c r="C682" t="s">
        <v>15</v>
      </c>
      <c r="D682" s="2">
        <v>5380</v>
      </c>
      <c r="E682" s="2">
        <v>116215</v>
      </c>
      <c r="F682" s="3">
        <v>100462</v>
      </c>
    </row>
    <row r="683" spans="1:6" x14ac:dyDescent="0.3">
      <c r="A683">
        <v>2019</v>
      </c>
      <c r="B683" t="s">
        <v>58</v>
      </c>
      <c r="C683" t="s">
        <v>16</v>
      </c>
      <c r="D683" s="2">
        <v>1231</v>
      </c>
      <c r="E683" s="2">
        <v>8802</v>
      </c>
      <c r="F683" s="3">
        <v>56211</v>
      </c>
    </row>
    <row r="684" spans="1:6" x14ac:dyDescent="0.3">
      <c r="A684">
        <v>2019</v>
      </c>
      <c r="B684" t="s">
        <v>58</v>
      </c>
      <c r="C684" t="s">
        <v>17</v>
      </c>
      <c r="D684" s="2">
        <v>6998</v>
      </c>
      <c r="E684" s="2">
        <v>94879</v>
      </c>
      <c r="F684" s="3">
        <v>96732</v>
      </c>
    </row>
    <row r="685" spans="1:6" x14ac:dyDescent="0.3">
      <c r="A685">
        <v>2019</v>
      </c>
      <c r="B685" t="s">
        <v>58</v>
      </c>
      <c r="C685" t="s">
        <v>18</v>
      </c>
      <c r="D685" s="2">
        <v>2278</v>
      </c>
      <c r="E685" s="2">
        <v>28628</v>
      </c>
      <c r="F685" s="3">
        <v>62444</v>
      </c>
    </row>
    <row r="686" spans="1:6" x14ac:dyDescent="0.3">
      <c r="A686">
        <v>2019</v>
      </c>
      <c r="B686" t="s">
        <v>58</v>
      </c>
      <c r="C686" t="s">
        <v>19</v>
      </c>
      <c r="D686" s="2">
        <v>1778</v>
      </c>
      <c r="E686" s="2">
        <v>21356</v>
      </c>
      <c r="F686" s="3">
        <v>60664</v>
      </c>
    </row>
    <row r="687" spans="1:6" x14ac:dyDescent="0.3">
      <c r="A687">
        <v>2019</v>
      </c>
      <c r="B687" t="s">
        <v>58</v>
      </c>
      <c r="C687" t="s">
        <v>20</v>
      </c>
      <c r="D687" s="2">
        <v>1386</v>
      </c>
      <c r="E687" s="2">
        <v>18137</v>
      </c>
      <c r="F687" s="3">
        <v>66434</v>
      </c>
    </row>
    <row r="688" spans="1:6" x14ac:dyDescent="0.3">
      <c r="A688">
        <v>2019</v>
      </c>
      <c r="B688" t="s">
        <v>58</v>
      </c>
      <c r="C688" t="s">
        <v>21</v>
      </c>
      <c r="D688" s="2">
        <v>1924</v>
      </c>
      <c r="E688" s="2">
        <v>21670</v>
      </c>
      <c r="F688" s="3">
        <v>58590</v>
      </c>
    </row>
    <row r="689" spans="1:6" x14ac:dyDescent="0.3">
      <c r="A689">
        <v>2019</v>
      </c>
      <c r="B689" t="s">
        <v>58</v>
      </c>
      <c r="C689" t="s">
        <v>22</v>
      </c>
      <c r="D689" s="2">
        <v>1801</v>
      </c>
      <c r="E689" s="2">
        <v>22427</v>
      </c>
      <c r="F689" s="3">
        <v>60638</v>
      </c>
    </row>
    <row r="690" spans="1:6" x14ac:dyDescent="0.3">
      <c r="A690">
        <v>2019</v>
      </c>
      <c r="B690" t="s">
        <v>58</v>
      </c>
      <c r="C690" t="s">
        <v>23</v>
      </c>
      <c r="D690">
        <v>869</v>
      </c>
      <c r="E690" s="2">
        <v>7158</v>
      </c>
      <c r="F690" s="3">
        <v>57442</v>
      </c>
    </row>
    <row r="691" spans="1:6" x14ac:dyDescent="0.3">
      <c r="A691">
        <v>2019</v>
      </c>
      <c r="B691" t="s">
        <v>58</v>
      </c>
      <c r="C691" t="s">
        <v>24</v>
      </c>
      <c r="D691" s="2">
        <v>2846</v>
      </c>
      <c r="E691" s="2">
        <v>35678</v>
      </c>
      <c r="F691" s="3">
        <v>98834</v>
      </c>
    </row>
    <row r="692" spans="1:6" x14ac:dyDescent="0.3">
      <c r="A692">
        <v>2019</v>
      </c>
      <c r="B692" t="s">
        <v>58</v>
      </c>
      <c r="C692" t="s">
        <v>25</v>
      </c>
      <c r="D692" s="2">
        <v>5717</v>
      </c>
      <c r="E692" s="2">
        <v>93033</v>
      </c>
      <c r="F692" s="3">
        <v>128022</v>
      </c>
    </row>
    <row r="693" spans="1:6" x14ac:dyDescent="0.3">
      <c r="A693">
        <v>2019</v>
      </c>
      <c r="B693" t="s">
        <v>58</v>
      </c>
      <c r="C693" t="s">
        <v>26</v>
      </c>
      <c r="D693" s="2">
        <v>7146</v>
      </c>
      <c r="E693" s="2">
        <v>55298</v>
      </c>
      <c r="F693" s="3">
        <v>77504</v>
      </c>
    </row>
    <row r="694" spans="1:6" x14ac:dyDescent="0.3">
      <c r="A694">
        <v>2019</v>
      </c>
      <c r="B694" t="s">
        <v>58</v>
      </c>
      <c r="C694" t="s">
        <v>27</v>
      </c>
      <c r="D694" s="2">
        <v>4133</v>
      </c>
      <c r="E694" s="2">
        <v>46906</v>
      </c>
      <c r="F694" s="3">
        <v>83846</v>
      </c>
    </row>
    <row r="695" spans="1:6" x14ac:dyDescent="0.3">
      <c r="A695">
        <v>2019</v>
      </c>
      <c r="B695" t="s">
        <v>58</v>
      </c>
      <c r="C695" t="s">
        <v>28</v>
      </c>
      <c r="D695">
        <v>944</v>
      </c>
      <c r="E695" s="2">
        <v>10695</v>
      </c>
      <c r="F695" s="3">
        <v>49438</v>
      </c>
    </row>
    <row r="696" spans="1:6" x14ac:dyDescent="0.3">
      <c r="A696">
        <v>2019</v>
      </c>
      <c r="B696" t="s">
        <v>58</v>
      </c>
      <c r="C696" t="s">
        <v>29</v>
      </c>
      <c r="D696" s="2">
        <v>3310</v>
      </c>
      <c r="E696" s="2">
        <v>46729</v>
      </c>
      <c r="F696" s="3">
        <v>85960</v>
      </c>
    </row>
    <row r="697" spans="1:6" x14ac:dyDescent="0.3">
      <c r="A697">
        <v>2019</v>
      </c>
      <c r="B697" t="s">
        <v>58</v>
      </c>
      <c r="C697" t="s">
        <v>30</v>
      </c>
      <c r="D697">
        <v>799</v>
      </c>
      <c r="E697" s="2">
        <v>6210</v>
      </c>
      <c r="F697" s="3">
        <v>56592</v>
      </c>
    </row>
    <row r="698" spans="1:6" x14ac:dyDescent="0.3">
      <c r="A698">
        <v>2019</v>
      </c>
      <c r="B698" t="s">
        <v>58</v>
      </c>
      <c r="C698" t="s">
        <v>31</v>
      </c>
      <c r="D698" s="2">
        <v>1015</v>
      </c>
      <c r="E698" s="2">
        <v>17258</v>
      </c>
      <c r="F698" s="3">
        <v>66732</v>
      </c>
    </row>
    <row r="699" spans="1:6" x14ac:dyDescent="0.3">
      <c r="A699">
        <v>2019</v>
      </c>
      <c r="B699" t="s">
        <v>58</v>
      </c>
      <c r="C699" t="s">
        <v>32</v>
      </c>
      <c r="D699" s="2">
        <v>1664</v>
      </c>
      <c r="E699" s="2">
        <v>15847</v>
      </c>
      <c r="F699" s="3">
        <v>73213</v>
      </c>
    </row>
    <row r="700" spans="1:6" x14ac:dyDescent="0.3">
      <c r="A700">
        <v>2019</v>
      </c>
      <c r="B700" t="s">
        <v>58</v>
      </c>
      <c r="C700" t="s">
        <v>33</v>
      </c>
      <c r="D700" s="2">
        <v>1037</v>
      </c>
      <c r="E700" s="2">
        <v>12334</v>
      </c>
      <c r="F700" s="3">
        <v>97212</v>
      </c>
    </row>
    <row r="701" spans="1:6" x14ac:dyDescent="0.3">
      <c r="A701">
        <v>2019</v>
      </c>
      <c r="B701" t="s">
        <v>58</v>
      </c>
      <c r="C701" t="s">
        <v>34</v>
      </c>
      <c r="D701" s="2">
        <v>3724</v>
      </c>
      <c r="E701" s="2">
        <v>67578</v>
      </c>
      <c r="F701" s="3">
        <v>117433</v>
      </c>
    </row>
    <row r="702" spans="1:6" x14ac:dyDescent="0.3">
      <c r="A702">
        <v>2019</v>
      </c>
      <c r="B702" t="s">
        <v>58</v>
      </c>
      <c r="C702" t="s">
        <v>35</v>
      </c>
      <c r="D702" s="2">
        <v>1074</v>
      </c>
      <c r="E702" s="2">
        <v>11166</v>
      </c>
      <c r="F702" s="3">
        <v>57554</v>
      </c>
    </row>
    <row r="703" spans="1:6" x14ac:dyDescent="0.3">
      <c r="A703">
        <v>2019</v>
      </c>
      <c r="B703" t="s">
        <v>58</v>
      </c>
      <c r="C703" t="s">
        <v>36</v>
      </c>
      <c r="D703" s="2">
        <v>12812</v>
      </c>
      <c r="E703" s="2">
        <v>277408</v>
      </c>
      <c r="F703" s="3">
        <v>135959</v>
      </c>
    </row>
    <row r="704" spans="1:6" x14ac:dyDescent="0.3">
      <c r="A704">
        <v>2019</v>
      </c>
      <c r="B704" t="s">
        <v>58</v>
      </c>
      <c r="C704" t="s">
        <v>37</v>
      </c>
      <c r="D704" s="2">
        <v>5669</v>
      </c>
      <c r="E704" s="2">
        <v>75919</v>
      </c>
      <c r="F704" s="3">
        <v>87039</v>
      </c>
    </row>
    <row r="705" spans="1:6" x14ac:dyDescent="0.3">
      <c r="A705">
        <v>2019</v>
      </c>
      <c r="B705" t="s">
        <v>58</v>
      </c>
      <c r="C705" t="s">
        <v>38</v>
      </c>
      <c r="D705">
        <v>402</v>
      </c>
      <c r="E705" s="2">
        <v>6093</v>
      </c>
      <c r="F705" s="3">
        <v>71543</v>
      </c>
    </row>
    <row r="706" spans="1:6" x14ac:dyDescent="0.3">
      <c r="A706">
        <v>2019</v>
      </c>
      <c r="B706" t="s">
        <v>58</v>
      </c>
      <c r="C706" t="s">
        <v>39</v>
      </c>
      <c r="D706" s="2">
        <v>4915</v>
      </c>
      <c r="E706" s="2">
        <v>69330</v>
      </c>
      <c r="F706" s="3">
        <v>72613</v>
      </c>
    </row>
    <row r="707" spans="1:6" x14ac:dyDescent="0.3">
      <c r="A707">
        <v>2019</v>
      </c>
      <c r="B707" t="s">
        <v>58</v>
      </c>
      <c r="C707" t="s">
        <v>40</v>
      </c>
      <c r="D707" s="2">
        <v>1550</v>
      </c>
      <c r="E707" s="2">
        <v>19627</v>
      </c>
      <c r="F707" s="3">
        <v>60407</v>
      </c>
    </row>
    <row r="708" spans="1:6" x14ac:dyDescent="0.3">
      <c r="A708">
        <v>2019</v>
      </c>
      <c r="B708" t="s">
        <v>58</v>
      </c>
      <c r="C708" t="s">
        <v>41</v>
      </c>
      <c r="D708" s="2">
        <v>4135</v>
      </c>
      <c r="E708" s="2">
        <v>35053</v>
      </c>
      <c r="F708" s="3">
        <v>89633</v>
      </c>
    </row>
    <row r="709" spans="1:6" x14ac:dyDescent="0.3">
      <c r="A709">
        <v>2019</v>
      </c>
      <c r="B709" t="s">
        <v>58</v>
      </c>
      <c r="C709" t="s">
        <v>42</v>
      </c>
      <c r="D709" s="2">
        <v>5348</v>
      </c>
      <c r="E709" s="2">
        <v>87043</v>
      </c>
      <c r="F709" s="3">
        <v>94900</v>
      </c>
    </row>
    <row r="710" spans="1:6" x14ac:dyDescent="0.3">
      <c r="A710">
        <v>2019</v>
      </c>
      <c r="B710" t="s">
        <v>58</v>
      </c>
      <c r="C710" t="s">
        <v>43</v>
      </c>
      <c r="D710">
        <v>714</v>
      </c>
      <c r="E710" s="2">
        <v>5878</v>
      </c>
      <c r="F710" s="3">
        <v>76409</v>
      </c>
    </row>
    <row r="711" spans="1:6" x14ac:dyDescent="0.3">
      <c r="A711">
        <v>2019</v>
      </c>
      <c r="B711" t="s">
        <v>58</v>
      </c>
      <c r="C711" t="s">
        <v>44</v>
      </c>
      <c r="D711" s="2">
        <v>2883</v>
      </c>
      <c r="E711" s="2">
        <v>26869</v>
      </c>
      <c r="F711" s="3">
        <v>66032</v>
      </c>
    </row>
    <row r="712" spans="1:6" x14ac:dyDescent="0.3">
      <c r="A712">
        <v>2019</v>
      </c>
      <c r="B712" t="s">
        <v>58</v>
      </c>
      <c r="C712" t="s">
        <v>45</v>
      </c>
      <c r="D712">
        <v>589</v>
      </c>
      <c r="E712" s="2">
        <v>5500</v>
      </c>
      <c r="F712" s="3">
        <v>51535</v>
      </c>
    </row>
    <row r="713" spans="1:6" x14ac:dyDescent="0.3">
      <c r="A713">
        <v>2019</v>
      </c>
      <c r="B713" t="s">
        <v>58</v>
      </c>
      <c r="C713" t="s">
        <v>46</v>
      </c>
      <c r="D713" s="2">
        <v>3981</v>
      </c>
      <c r="E713" s="2">
        <v>45042</v>
      </c>
      <c r="F713" s="3">
        <v>75375</v>
      </c>
    </row>
    <row r="714" spans="1:6" x14ac:dyDescent="0.3">
      <c r="A714">
        <v>2019</v>
      </c>
      <c r="B714" t="s">
        <v>58</v>
      </c>
      <c r="C714" t="s">
        <v>47</v>
      </c>
      <c r="D714" s="2">
        <v>10627</v>
      </c>
      <c r="E714" s="2">
        <v>208591</v>
      </c>
      <c r="F714" s="3">
        <v>90857</v>
      </c>
    </row>
    <row r="715" spans="1:6" x14ac:dyDescent="0.3">
      <c r="A715">
        <v>2019</v>
      </c>
      <c r="B715" t="s">
        <v>58</v>
      </c>
      <c r="C715" t="s">
        <v>48</v>
      </c>
      <c r="D715" s="2">
        <v>2776</v>
      </c>
      <c r="E715" s="2">
        <v>38323</v>
      </c>
      <c r="F715" s="3">
        <v>84735</v>
      </c>
    </row>
    <row r="716" spans="1:6" x14ac:dyDescent="0.3">
      <c r="A716">
        <v>2019</v>
      </c>
      <c r="B716" t="s">
        <v>58</v>
      </c>
      <c r="C716" t="s">
        <v>49</v>
      </c>
      <c r="D716">
        <v>527</v>
      </c>
      <c r="E716" s="2">
        <v>4322</v>
      </c>
      <c r="F716" s="3">
        <v>62861</v>
      </c>
    </row>
    <row r="717" spans="1:6" x14ac:dyDescent="0.3">
      <c r="A717">
        <v>2019</v>
      </c>
      <c r="B717" t="s">
        <v>58</v>
      </c>
      <c r="C717" t="s">
        <v>50</v>
      </c>
      <c r="D717" s="2">
        <v>4600</v>
      </c>
      <c r="E717" s="2">
        <v>67714</v>
      </c>
      <c r="F717" s="3">
        <v>107966</v>
      </c>
    </row>
    <row r="718" spans="1:6" x14ac:dyDescent="0.3">
      <c r="A718">
        <v>2019</v>
      </c>
      <c r="B718" t="s">
        <v>58</v>
      </c>
      <c r="C718" t="s">
        <v>51</v>
      </c>
      <c r="D718" s="2">
        <v>5007</v>
      </c>
      <c r="E718" s="2">
        <v>143883</v>
      </c>
      <c r="F718" s="3">
        <v>207135</v>
      </c>
    </row>
    <row r="719" spans="1:6" x14ac:dyDescent="0.3">
      <c r="A719">
        <v>2019</v>
      </c>
      <c r="B719" t="s">
        <v>58</v>
      </c>
      <c r="C719" t="s">
        <v>52</v>
      </c>
      <c r="D719">
        <v>818</v>
      </c>
      <c r="E719" s="2">
        <v>8072</v>
      </c>
      <c r="F719" s="3">
        <v>53281</v>
      </c>
    </row>
    <row r="720" spans="1:6" x14ac:dyDescent="0.3">
      <c r="A720">
        <v>2019</v>
      </c>
      <c r="B720" t="s">
        <v>58</v>
      </c>
      <c r="C720" t="s">
        <v>53</v>
      </c>
      <c r="D720" s="2">
        <v>2335</v>
      </c>
      <c r="E720" s="2">
        <v>46993</v>
      </c>
      <c r="F720" s="3">
        <v>82512</v>
      </c>
    </row>
    <row r="721" spans="1:6" x14ac:dyDescent="0.3">
      <c r="A721">
        <v>2019</v>
      </c>
      <c r="B721" t="s">
        <v>58</v>
      </c>
      <c r="C721" t="s">
        <v>54</v>
      </c>
      <c r="D721">
        <v>417</v>
      </c>
      <c r="E721" s="2">
        <v>3424</v>
      </c>
      <c r="F721" s="3">
        <v>49035</v>
      </c>
    </row>
    <row r="722" spans="1:6" x14ac:dyDescent="0.3">
      <c r="A722">
        <v>2019</v>
      </c>
      <c r="B722" t="s">
        <v>59</v>
      </c>
      <c r="C722" t="s">
        <v>7</v>
      </c>
      <c r="D722" s="2">
        <v>13590</v>
      </c>
      <c r="E722" s="2">
        <v>95053</v>
      </c>
      <c r="F722" s="3">
        <v>71076</v>
      </c>
    </row>
    <row r="723" spans="1:6" x14ac:dyDescent="0.3">
      <c r="A723">
        <v>2019</v>
      </c>
      <c r="B723" t="s">
        <v>59</v>
      </c>
      <c r="C723" t="s">
        <v>8</v>
      </c>
      <c r="D723" s="2">
        <v>19357</v>
      </c>
      <c r="E723" s="2">
        <v>223263</v>
      </c>
      <c r="F723" s="3">
        <v>74627</v>
      </c>
    </row>
    <row r="724" spans="1:6" x14ac:dyDescent="0.3">
      <c r="A724">
        <v>2019</v>
      </c>
      <c r="B724" t="s">
        <v>59</v>
      </c>
      <c r="C724" t="s">
        <v>9</v>
      </c>
      <c r="D724" s="2">
        <v>8591</v>
      </c>
      <c r="E724" s="2">
        <v>51934</v>
      </c>
      <c r="F724" s="3">
        <v>60198</v>
      </c>
    </row>
    <row r="725" spans="1:6" x14ac:dyDescent="0.3">
      <c r="A725">
        <v>2019</v>
      </c>
      <c r="B725" t="s">
        <v>59</v>
      </c>
      <c r="C725" t="s">
        <v>10</v>
      </c>
      <c r="D725" s="2">
        <v>109980</v>
      </c>
      <c r="E725" s="2">
        <v>841829</v>
      </c>
      <c r="F725" s="3">
        <v>112757</v>
      </c>
    </row>
    <row r="726" spans="1:6" x14ac:dyDescent="0.3">
      <c r="A726">
        <v>2019</v>
      </c>
      <c r="B726" t="s">
        <v>59</v>
      </c>
      <c r="C726" t="s">
        <v>11</v>
      </c>
      <c r="D726" s="2">
        <v>24028</v>
      </c>
      <c r="E726" s="2">
        <v>167272</v>
      </c>
      <c r="F726" s="3">
        <v>88613</v>
      </c>
    </row>
    <row r="727" spans="1:6" x14ac:dyDescent="0.3">
      <c r="A727">
        <v>2019</v>
      </c>
      <c r="B727" t="s">
        <v>59</v>
      </c>
      <c r="C727" t="s">
        <v>12</v>
      </c>
      <c r="D727" s="2">
        <v>11028</v>
      </c>
      <c r="E727" s="2">
        <v>121869</v>
      </c>
      <c r="F727" s="3">
        <v>157629</v>
      </c>
    </row>
    <row r="728" spans="1:6" x14ac:dyDescent="0.3">
      <c r="A728">
        <v>2019</v>
      </c>
      <c r="B728" t="s">
        <v>59</v>
      </c>
      <c r="C728" t="s">
        <v>13</v>
      </c>
      <c r="D728" s="2">
        <v>2907</v>
      </c>
      <c r="E728" s="2">
        <v>48162</v>
      </c>
      <c r="F728" s="3">
        <v>97426</v>
      </c>
    </row>
    <row r="729" spans="1:6" x14ac:dyDescent="0.3">
      <c r="A729">
        <v>2019</v>
      </c>
      <c r="B729" t="s">
        <v>59</v>
      </c>
      <c r="C729" t="s">
        <v>14</v>
      </c>
      <c r="D729" s="2">
        <v>76648</v>
      </c>
      <c r="E729" s="2">
        <v>585959</v>
      </c>
      <c r="F729" s="3">
        <v>77025</v>
      </c>
    </row>
    <row r="730" spans="1:6" x14ac:dyDescent="0.3">
      <c r="A730">
        <v>2019</v>
      </c>
      <c r="B730" t="s">
        <v>59</v>
      </c>
      <c r="C730" t="s">
        <v>15</v>
      </c>
      <c r="D730" s="2">
        <v>26961</v>
      </c>
      <c r="E730" s="2">
        <v>242468</v>
      </c>
      <c r="F730" s="3">
        <v>86701</v>
      </c>
    </row>
    <row r="731" spans="1:6" x14ac:dyDescent="0.3">
      <c r="A731">
        <v>2019</v>
      </c>
      <c r="B731" t="s">
        <v>59</v>
      </c>
      <c r="C731" t="s">
        <v>16</v>
      </c>
      <c r="D731" s="2">
        <v>5859</v>
      </c>
      <c r="E731" s="2">
        <v>33273</v>
      </c>
      <c r="F731" s="3">
        <v>59504</v>
      </c>
    </row>
    <row r="732" spans="1:6" x14ac:dyDescent="0.3">
      <c r="A732">
        <v>2019</v>
      </c>
      <c r="B732" t="s">
        <v>59</v>
      </c>
      <c r="C732" t="s">
        <v>17</v>
      </c>
      <c r="D732" s="2">
        <v>32792</v>
      </c>
      <c r="E732" s="2">
        <v>381941</v>
      </c>
      <c r="F732" s="3">
        <v>113091</v>
      </c>
    </row>
    <row r="733" spans="1:6" x14ac:dyDescent="0.3">
      <c r="A733">
        <v>2019</v>
      </c>
      <c r="B733" t="s">
        <v>59</v>
      </c>
      <c r="C733" t="s">
        <v>18</v>
      </c>
      <c r="D733" s="2">
        <v>16940</v>
      </c>
      <c r="E733" s="2">
        <v>135547</v>
      </c>
      <c r="F733" s="3">
        <v>67469</v>
      </c>
    </row>
    <row r="734" spans="1:6" x14ac:dyDescent="0.3">
      <c r="A734">
        <v>2019</v>
      </c>
      <c r="B734" t="s">
        <v>59</v>
      </c>
      <c r="C734" t="s">
        <v>19</v>
      </c>
      <c r="D734" s="2">
        <v>10414</v>
      </c>
      <c r="E734" s="2">
        <v>110010</v>
      </c>
      <c r="F734" s="3">
        <v>76212</v>
      </c>
    </row>
    <row r="735" spans="1:6" x14ac:dyDescent="0.3">
      <c r="A735">
        <v>2019</v>
      </c>
      <c r="B735" t="s">
        <v>59</v>
      </c>
      <c r="C735" t="s">
        <v>20</v>
      </c>
      <c r="D735" s="2">
        <v>8744</v>
      </c>
      <c r="E735" s="2">
        <v>74336</v>
      </c>
      <c r="F735" s="3">
        <v>68950</v>
      </c>
    </row>
    <row r="736" spans="1:6" x14ac:dyDescent="0.3">
      <c r="A736">
        <v>2019</v>
      </c>
      <c r="B736" t="s">
        <v>59</v>
      </c>
      <c r="C736" t="s">
        <v>21</v>
      </c>
      <c r="D736" s="2">
        <v>11201</v>
      </c>
      <c r="E736" s="2">
        <v>93556</v>
      </c>
      <c r="F736" s="3">
        <v>69885</v>
      </c>
    </row>
    <row r="737" spans="1:6" x14ac:dyDescent="0.3">
      <c r="A737">
        <v>2019</v>
      </c>
      <c r="B737" t="s">
        <v>59</v>
      </c>
      <c r="C737" t="s">
        <v>22</v>
      </c>
      <c r="D737" s="2">
        <v>13852</v>
      </c>
      <c r="E737" s="2">
        <v>84791</v>
      </c>
      <c r="F737" s="3">
        <v>63590</v>
      </c>
    </row>
    <row r="738" spans="1:6" x14ac:dyDescent="0.3">
      <c r="A738">
        <v>2019</v>
      </c>
      <c r="B738" t="s">
        <v>59</v>
      </c>
      <c r="C738" t="s">
        <v>23</v>
      </c>
      <c r="D738" s="2">
        <v>3854</v>
      </c>
      <c r="E738" s="2">
        <v>30481</v>
      </c>
      <c r="F738" s="3">
        <v>70030</v>
      </c>
    </row>
    <row r="739" spans="1:6" x14ac:dyDescent="0.3">
      <c r="A739">
        <v>2019</v>
      </c>
      <c r="B739" t="s">
        <v>59</v>
      </c>
      <c r="C739" t="s">
        <v>24</v>
      </c>
      <c r="D739" s="2">
        <v>15512</v>
      </c>
      <c r="E739" s="2">
        <v>135216</v>
      </c>
      <c r="F739" s="3">
        <v>98024</v>
      </c>
    </row>
    <row r="740" spans="1:6" x14ac:dyDescent="0.3">
      <c r="A740">
        <v>2019</v>
      </c>
      <c r="B740" t="s">
        <v>59</v>
      </c>
      <c r="C740" t="s">
        <v>25</v>
      </c>
      <c r="D740" s="2">
        <v>17883</v>
      </c>
      <c r="E740" s="2">
        <v>218858</v>
      </c>
      <c r="F740" s="3">
        <v>147565</v>
      </c>
    </row>
    <row r="741" spans="1:6" x14ac:dyDescent="0.3">
      <c r="A741">
        <v>2019</v>
      </c>
      <c r="B741" t="s">
        <v>59</v>
      </c>
      <c r="C741" t="s">
        <v>26</v>
      </c>
      <c r="D741" s="2">
        <v>19641</v>
      </c>
      <c r="E741" s="2">
        <v>208812</v>
      </c>
      <c r="F741" s="3">
        <v>73691</v>
      </c>
    </row>
    <row r="742" spans="1:6" x14ac:dyDescent="0.3">
      <c r="A742">
        <v>2019</v>
      </c>
      <c r="B742" t="s">
        <v>59</v>
      </c>
      <c r="C742" t="s">
        <v>27</v>
      </c>
      <c r="D742" s="2">
        <v>15855</v>
      </c>
      <c r="E742" s="2">
        <v>182914</v>
      </c>
      <c r="F742" s="3">
        <v>97673</v>
      </c>
    </row>
    <row r="743" spans="1:6" x14ac:dyDescent="0.3">
      <c r="A743">
        <v>2019</v>
      </c>
      <c r="B743" t="s">
        <v>59</v>
      </c>
      <c r="C743" t="s">
        <v>28</v>
      </c>
      <c r="D743" s="2">
        <v>7944</v>
      </c>
      <c r="E743" s="2">
        <v>43109</v>
      </c>
      <c r="F743" s="3">
        <v>54672</v>
      </c>
    </row>
    <row r="744" spans="1:6" x14ac:dyDescent="0.3">
      <c r="A744">
        <v>2019</v>
      </c>
      <c r="B744" t="s">
        <v>59</v>
      </c>
      <c r="C744" t="s">
        <v>29</v>
      </c>
      <c r="D744" s="2">
        <v>17951</v>
      </c>
      <c r="E744" s="2">
        <v>166025</v>
      </c>
      <c r="F744" s="3">
        <v>75387</v>
      </c>
    </row>
    <row r="745" spans="1:6" x14ac:dyDescent="0.3">
      <c r="A745">
        <v>2019</v>
      </c>
      <c r="B745" t="s">
        <v>59</v>
      </c>
      <c r="C745" t="s">
        <v>30</v>
      </c>
      <c r="D745" s="2">
        <v>4314</v>
      </c>
      <c r="E745" s="2">
        <v>22199</v>
      </c>
      <c r="F745" s="3">
        <v>60907</v>
      </c>
    </row>
    <row r="746" spans="1:6" x14ac:dyDescent="0.3">
      <c r="A746">
        <v>2019</v>
      </c>
      <c r="B746" t="s">
        <v>59</v>
      </c>
      <c r="C746" t="s">
        <v>31</v>
      </c>
      <c r="D746" s="2">
        <v>6842</v>
      </c>
      <c r="E746" s="2">
        <v>67425</v>
      </c>
      <c r="F746" s="3">
        <v>69072</v>
      </c>
    </row>
    <row r="747" spans="1:6" x14ac:dyDescent="0.3">
      <c r="A747">
        <v>2019</v>
      </c>
      <c r="B747" t="s">
        <v>59</v>
      </c>
      <c r="C747" t="s">
        <v>32</v>
      </c>
      <c r="D747" s="2">
        <v>9324</v>
      </c>
      <c r="E747" s="2">
        <v>64932</v>
      </c>
      <c r="F747" s="3">
        <v>70204</v>
      </c>
    </row>
    <row r="748" spans="1:6" x14ac:dyDescent="0.3">
      <c r="A748">
        <v>2019</v>
      </c>
      <c r="B748" t="s">
        <v>59</v>
      </c>
      <c r="C748" t="s">
        <v>33</v>
      </c>
      <c r="D748" s="2">
        <v>3881</v>
      </c>
      <c r="E748" s="2">
        <v>33418</v>
      </c>
      <c r="F748" s="3">
        <v>100104</v>
      </c>
    </row>
    <row r="749" spans="1:6" x14ac:dyDescent="0.3">
      <c r="A749">
        <v>2019</v>
      </c>
      <c r="B749" t="s">
        <v>59</v>
      </c>
      <c r="C749" t="s">
        <v>34</v>
      </c>
      <c r="D749" s="2">
        <v>20037</v>
      </c>
      <c r="E749" s="2">
        <v>243892</v>
      </c>
      <c r="F749" s="3">
        <v>117277</v>
      </c>
    </row>
    <row r="750" spans="1:6" x14ac:dyDescent="0.3">
      <c r="A750">
        <v>2019</v>
      </c>
      <c r="B750" t="s">
        <v>59</v>
      </c>
      <c r="C750" t="s">
        <v>35</v>
      </c>
      <c r="D750" s="2">
        <v>5460</v>
      </c>
      <c r="E750" s="2">
        <v>33799</v>
      </c>
      <c r="F750" s="3">
        <v>57768</v>
      </c>
    </row>
    <row r="751" spans="1:6" x14ac:dyDescent="0.3">
      <c r="A751">
        <v>2019</v>
      </c>
      <c r="B751" t="s">
        <v>59</v>
      </c>
      <c r="C751" t="s">
        <v>36</v>
      </c>
      <c r="D751" s="2">
        <v>63310</v>
      </c>
      <c r="E751" s="2">
        <v>720818</v>
      </c>
      <c r="F751" s="3">
        <v>191494</v>
      </c>
    </row>
    <row r="752" spans="1:6" x14ac:dyDescent="0.3">
      <c r="A752">
        <v>2019</v>
      </c>
      <c r="B752" t="s">
        <v>59</v>
      </c>
      <c r="C752" t="s">
        <v>37</v>
      </c>
      <c r="D752" s="2">
        <v>28672</v>
      </c>
      <c r="E752" s="2">
        <v>245903</v>
      </c>
      <c r="F752" s="3">
        <v>89886</v>
      </c>
    </row>
    <row r="753" spans="1:6" x14ac:dyDescent="0.3">
      <c r="A753">
        <v>2019</v>
      </c>
      <c r="B753" t="s">
        <v>59</v>
      </c>
      <c r="C753" t="s">
        <v>38</v>
      </c>
      <c r="D753" s="2">
        <v>2985</v>
      </c>
      <c r="E753" s="2">
        <v>23264</v>
      </c>
      <c r="F753" s="3">
        <v>65784</v>
      </c>
    </row>
    <row r="754" spans="1:6" x14ac:dyDescent="0.3">
      <c r="A754">
        <v>2019</v>
      </c>
      <c r="B754" t="s">
        <v>59</v>
      </c>
      <c r="C754" t="s">
        <v>39</v>
      </c>
      <c r="D754" s="2">
        <v>29119</v>
      </c>
      <c r="E754" s="2">
        <v>292556</v>
      </c>
      <c r="F754" s="3">
        <v>75683</v>
      </c>
    </row>
    <row r="755" spans="1:6" x14ac:dyDescent="0.3">
      <c r="A755">
        <v>2019</v>
      </c>
      <c r="B755" t="s">
        <v>59</v>
      </c>
      <c r="C755" t="s">
        <v>40</v>
      </c>
      <c r="D755" s="2">
        <v>11672</v>
      </c>
      <c r="E755" s="2">
        <v>77324</v>
      </c>
      <c r="F755" s="3">
        <v>59814</v>
      </c>
    </row>
    <row r="756" spans="1:6" x14ac:dyDescent="0.3">
      <c r="A756">
        <v>2019</v>
      </c>
      <c r="B756" t="s">
        <v>59</v>
      </c>
      <c r="C756" t="s">
        <v>41</v>
      </c>
      <c r="D756" s="2">
        <v>13190</v>
      </c>
      <c r="E756" s="2">
        <v>85425</v>
      </c>
      <c r="F756" s="3">
        <v>73291</v>
      </c>
    </row>
    <row r="757" spans="1:6" x14ac:dyDescent="0.3">
      <c r="A757">
        <v>2019</v>
      </c>
      <c r="B757" t="s">
        <v>59</v>
      </c>
      <c r="C757" t="s">
        <v>42</v>
      </c>
      <c r="D757" s="2">
        <v>29264</v>
      </c>
      <c r="E757" s="2">
        <v>329745</v>
      </c>
      <c r="F757" s="3">
        <v>90778</v>
      </c>
    </row>
    <row r="758" spans="1:6" x14ac:dyDescent="0.3">
      <c r="A758">
        <v>2019</v>
      </c>
      <c r="B758" t="s">
        <v>59</v>
      </c>
      <c r="C758" t="s">
        <v>43</v>
      </c>
      <c r="D758" s="2">
        <v>2934</v>
      </c>
      <c r="E758" s="2">
        <v>32223</v>
      </c>
      <c r="F758" s="3">
        <v>91537</v>
      </c>
    </row>
    <row r="759" spans="1:6" x14ac:dyDescent="0.3">
      <c r="A759">
        <v>2019</v>
      </c>
      <c r="B759" t="s">
        <v>59</v>
      </c>
      <c r="C759" t="s">
        <v>44</v>
      </c>
      <c r="D759" s="2">
        <v>14196</v>
      </c>
      <c r="E759" s="2">
        <v>101755</v>
      </c>
      <c r="F759" s="3">
        <v>64481</v>
      </c>
    </row>
    <row r="760" spans="1:6" x14ac:dyDescent="0.3">
      <c r="A760">
        <v>2019</v>
      </c>
      <c r="B760" t="s">
        <v>59</v>
      </c>
      <c r="C760" t="s">
        <v>45</v>
      </c>
      <c r="D760" s="2">
        <v>3315</v>
      </c>
      <c r="E760" s="2">
        <v>28483</v>
      </c>
      <c r="F760" s="3">
        <v>63499</v>
      </c>
    </row>
    <row r="761" spans="1:6" x14ac:dyDescent="0.3">
      <c r="A761">
        <v>2019</v>
      </c>
      <c r="B761" t="s">
        <v>59</v>
      </c>
      <c r="C761" t="s">
        <v>46</v>
      </c>
      <c r="D761" s="2">
        <v>16270</v>
      </c>
      <c r="E761" s="2">
        <v>157388</v>
      </c>
      <c r="F761" s="3">
        <v>77805</v>
      </c>
    </row>
    <row r="762" spans="1:6" x14ac:dyDescent="0.3">
      <c r="A762">
        <v>2019</v>
      </c>
      <c r="B762" t="s">
        <v>59</v>
      </c>
      <c r="C762" t="s">
        <v>47</v>
      </c>
      <c r="D762" s="2">
        <v>76169</v>
      </c>
      <c r="E762" s="2">
        <v>777574</v>
      </c>
      <c r="F762" s="3">
        <v>86718</v>
      </c>
    </row>
    <row r="763" spans="1:6" x14ac:dyDescent="0.3">
      <c r="A763">
        <v>2019</v>
      </c>
      <c r="B763" t="s">
        <v>59</v>
      </c>
      <c r="C763" t="s">
        <v>48</v>
      </c>
      <c r="D763" s="2">
        <v>11885</v>
      </c>
      <c r="E763" s="2">
        <v>90007</v>
      </c>
      <c r="F763" s="3">
        <v>70967</v>
      </c>
    </row>
    <row r="764" spans="1:6" x14ac:dyDescent="0.3">
      <c r="A764">
        <v>2019</v>
      </c>
      <c r="B764" t="s">
        <v>59</v>
      </c>
      <c r="C764" t="s">
        <v>49</v>
      </c>
      <c r="D764" s="2">
        <v>1709</v>
      </c>
      <c r="E764" s="2">
        <v>11948</v>
      </c>
      <c r="F764" s="3">
        <v>74642</v>
      </c>
    </row>
    <row r="765" spans="1:6" x14ac:dyDescent="0.3">
      <c r="A765">
        <v>2019</v>
      </c>
      <c r="B765" t="s">
        <v>59</v>
      </c>
      <c r="C765" t="s">
        <v>50</v>
      </c>
      <c r="D765" s="2">
        <v>22249</v>
      </c>
      <c r="E765" s="2">
        <v>198459</v>
      </c>
      <c r="F765" s="3">
        <v>88029</v>
      </c>
    </row>
    <row r="766" spans="1:6" x14ac:dyDescent="0.3">
      <c r="A766">
        <v>2019</v>
      </c>
      <c r="B766" t="s">
        <v>59</v>
      </c>
      <c r="C766" t="s">
        <v>51</v>
      </c>
      <c r="D766" s="2">
        <v>17624</v>
      </c>
      <c r="E766" s="2">
        <v>150178</v>
      </c>
      <c r="F766" s="3">
        <v>85242</v>
      </c>
    </row>
    <row r="767" spans="1:6" x14ac:dyDescent="0.3">
      <c r="A767">
        <v>2019</v>
      </c>
      <c r="B767" t="s">
        <v>59</v>
      </c>
      <c r="C767" t="s">
        <v>52</v>
      </c>
      <c r="D767" s="2">
        <v>4003</v>
      </c>
      <c r="E767" s="2">
        <v>24569</v>
      </c>
      <c r="F767" s="3">
        <v>54528</v>
      </c>
    </row>
    <row r="768" spans="1:6" x14ac:dyDescent="0.3">
      <c r="A768">
        <v>2019</v>
      </c>
      <c r="B768" t="s">
        <v>59</v>
      </c>
      <c r="C768" t="s">
        <v>53</v>
      </c>
      <c r="D768" s="2">
        <v>14066</v>
      </c>
      <c r="E768" s="2">
        <v>150327</v>
      </c>
      <c r="F768" s="3">
        <v>74040</v>
      </c>
    </row>
    <row r="769" spans="1:6" x14ac:dyDescent="0.3">
      <c r="A769">
        <v>2019</v>
      </c>
      <c r="B769" t="s">
        <v>59</v>
      </c>
      <c r="C769" t="s">
        <v>54</v>
      </c>
      <c r="D769" s="2">
        <v>2306</v>
      </c>
      <c r="E769" s="2">
        <v>11180</v>
      </c>
      <c r="F769" s="3">
        <v>60849</v>
      </c>
    </row>
    <row r="770" spans="1:6" x14ac:dyDescent="0.3">
      <c r="A770">
        <v>2019</v>
      </c>
      <c r="B770" t="s">
        <v>60</v>
      </c>
      <c r="C770" t="s">
        <v>7</v>
      </c>
      <c r="D770" s="2">
        <v>22186</v>
      </c>
      <c r="E770" s="2">
        <v>251073</v>
      </c>
      <c r="F770" s="3">
        <v>57061</v>
      </c>
    </row>
    <row r="771" spans="1:6" x14ac:dyDescent="0.3">
      <c r="A771">
        <v>2019</v>
      </c>
      <c r="B771" t="s">
        <v>60</v>
      </c>
      <c r="C771" t="s">
        <v>8</v>
      </c>
      <c r="D771" s="2">
        <v>38940</v>
      </c>
      <c r="E771" s="2">
        <v>445648</v>
      </c>
      <c r="F771" s="3">
        <v>58892</v>
      </c>
    </row>
    <row r="772" spans="1:6" x14ac:dyDescent="0.3">
      <c r="A772">
        <v>2019</v>
      </c>
      <c r="B772" t="s">
        <v>60</v>
      </c>
      <c r="C772" t="s">
        <v>9</v>
      </c>
      <c r="D772" s="2">
        <v>14911</v>
      </c>
      <c r="E772" s="2">
        <v>145841</v>
      </c>
      <c r="F772" s="3">
        <v>63354</v>
      </c>
    </row>
    <row r="773" spans="1:6" x14ac:dyDescent="0.3">
      <c r="A773">
        <v>2019</v>
      </c>
      <c r="B773" t="s">
        <v>60</v>
      </c>
      <c r="C773" t="s">
        <v>10</v>
      </c>
      <c r="D773" s="2">
        <v>215691</v>
      </c>
      <c r="E773" s="2">
        <v>2723437</v>
      </c>
      <c r="F773" s="3">
        <v>95348</v>
      </c>
    </row>
    <row r="774" spans="1:6" x14ac:dyDescent="0.3">
      <c r="A774">
        <v>2019</v>
      </c>
      <c r="B774" t="s">
        <v>60</v>
      </c>
      <c r="C774" t="s">
        <v>11</v>
      </c>
      <c r="D774" s="2">
        <v>55003</v>
      </c>
      <c r="E774" s="2">
        <v>439613</v>
      </c>
      <c r="F774" s="3">
        <v>86477</v>
      </c>
    </row>
    <row r="775" spans="1:6" x14ac:dyDescent="0.3">
      <c r="A775">
        <v>2019</v>
      </c>
      <c r="B775" t="s">
        <v>60</v>
      </c>
      <c r="C775" t="s">
        <v>12</v>
      </c>
      <c r="D775" s="2">
        <v>23755</v>
      </c>
      <c r="E775" s="2">
        <v>218815</v>
      </c>
      <c r="F775" s="3">
        <v>92139</v>
      </c>
    </row>
    <row r="776" spans="1:6" x14ac:dyDescent="0.3">
      <c r="A776">
        <v>2019</v>
      </c>
      <c r="B776" t="s">
        <v>60</v>
      </c>
      <c r="C776" t="s">
        <v>13</v>
      </c>
      <c r="D776" s="2">
        <v>9421</v>
      </c>
      <c r="E776" s="2">
        <v>63844</v>
      </c>
      <c r="F776" s="3">
        <v>82658</v>
      </c>
    </row>
    <row r="777" spans="1:6" x14ac:dyDescent="0.3">
      <c r="A777">
        <v>2019</v>
      </c>
      <c r="B777" t="s">
        <v>60</v>
      </c>
      <c r="C777" t="s">
        <v>14</v>
      </c>
      <c r="D777" s="2">
        <v>170397</v>
      </c>
      <c r="E777" s="2">
        <v>1391050</v>
      </c>
      <c r="F777" s="3">
        <v>63740</v>
      </c>
    </row>
    <row r="778" spans="1:6" x14ac:dyDescent="0.3">
      <c r="A778">
        <v>2019</v>
      </c>
      <c r="B778" t="s">
        <v>60</v>
      </c>
      <c r="C778" t="s">
        <v>15</v>
      </c>
      <c r="D778" s="2">
        <v>56304</v>
      </c>
      <c r="E778" s="2">
        <v>717238</v>
      </c>
      <c r="F778" s="3">
        <v>71861</v>
      </c>
    </row>
    <row r="779" spans="1:6" x14ac:dyDescent="0.3">
      <c r="A779">
        <v>2019</v>
      </c>
      <c r="B779" t="s">
        <v>60</v>
      </c>
      <c r="C779" t="s">
        <v>16</v>
      </c>
      <c r="D779" s="2">
        <v>11359</v>
      </c>
      <c r="E779" s="2">
        <v>94181</v>
      </c>
      <c r="F779" s="3">
        <v>55072</v>
      </c>
    </row>
    <row r="780" spans="1:6" x14ac:dyDescent="0.3">
      <c r="A780">
        <v>2019</v>
      </c>
      <c r="B780" t="s">
        <v>60</v>
      </c>
      <c r="C780" t="s">
        <v>17</v>
      </c>
      <c r="D780" s="2">
        <v>75870</v>
      </c>
      <c r="E780" s="2">
        <v>948055</v>
      </c>
      <c r="F780" s="3">
        <v>78228</v>
      </c>
    </row>
    <row r="781" spans="1:6" x14ac:dyDescent="0.3">
      <c r="A781">
        <v>2019</v>
      </c>
      <c r="B781" t="s">
        <v>60</v>
      </c>
      <c r="C781" t="s">
        <v>18</v>
      </c>
      <c r="D781" s="2">
        <v>30165</v>
      </c>
      <c r="E781" s="2">
        <v>346667</v>
      </c>
      <c r="F781" s="3">
        <v>53817</v>
      </c>
    </row>
    <row r="782" spans="1:6" x14ac:dyDescent="0.3">
      <c r="A782">
        <v>2019</v>
      </c>
      <c r="B782" t="s">
        <v>60</v>
      </c>
      <c r="C782" t="s">
        <v>19</v>
      </c>
      <c r="D782" s="2">
        <v>16421</v>
      </c>
      <c r="E782" s="2">
        <v>139337</v>
      </c>
      <c r="F782" s="3">
        <v>56755</v>
      </c>
    </row>
    <row r="783" spans="1:6" x14ac:dyDescent="0.3">
      <c r="A783">
        <v>2019</v>
      </c>
      <c r="B783" t="s">
        <v>60</v>
      </c>
      <c r="C783" t="s">
        <v>20</v>
      </c>
      <c r="D783" s="2">
        <v>16598</v>
      </c>
      <c r="E783" s="2">
        <v>179211</v>
      </c>
      <c r="F783" s="3">
        <v>64554</v>
      </c>
    </row>
    <row r="784" spans="1:6" x14ac:dyDescent="0.3">
      <c r="A784">
        <v>2019</v>
      </c>
      <c r="B784" t="s">
        <v>60</v>
      </c>
      <c r="C784" t="s">
        <v>21</v>
      </c>
      <c r="D784" s="2">
        <v>20866</v>
      </c>
      <c r="E784" s="2">
        <v>216049</v>
      </c>
      <c r="F784" s="3">
        <v>52511</v>
      </c>
    </row>
    <row r="785" spans="1:6" x14ac:dyDescent="0.3">
      <c r="A785">
        <v>2019</v>
      </c>
      <c r="B785" t="s">
        <v>60</v>
      </c>
      <c r="C785" t="s">
        <v>22</v>
      </c>
      <c r="D785" s="2">
        <v>25304</v>
      </c>
      <c r="E785" s="2">
        <v>216009</v>
      </c>
      <c r="F785" s="3">
        <v>57624</v>
      </c>
    </row>
    <row r="786" spans="1:6" x14ac:dyDescent="0.3">
      <c r="A786">
        <v>2019</v>
      </c>
      <c r="B786" t="s">
        <v>60</v>
      </c>
      <c r="C786" t="s">
        <v>23</v>
      </c>
      <c r="D786" s="2">
        <v>10504</v>
      </c>
      <c r="E786" s="2">
        <v>69931</v>
      </c>
      <c r="F786" s="3">
        <v>60893</v>
      </c>
    </row>
    <row r="787" spans="1:6" x14ac:dyDescent="0.3">
      <c r="A787">
        <v>2019</v>
      </c>
      <c r="B787" t="s">
        <v>60</v>
      </c>
      <c r="C787" t="s">
        <v>24</v>
      </c>
      <c r="D787" s="2">
        <v>44172</v>
      </c>
      <c r="E787" s="2">
        <v>461724</v>
      </c>
      <c r="F787" s="3">
        <v>82573</v>
      </c>
    </row>
    <row r="788" spans="1:6" x14ac:dyDescent="0.3">
      <c r="A788">
        <v>2019</v>
      </c>
      <c r="B788" t="s">
        <v>60</v>
      </c>
      <c r="C788" t="s">
        <v>25</v>
      </c>
      <c r="D788" s="2">
        <v>47892</v>
      </c>
      <c r="E788" s="2">
        <v>605822</v>
      </c>
      <c r="F788" s="3">
        <v>113872</v>
      </c>
    </row>
    <row r="789" spans="1:6" x14ac:dyDescent="0.3">
      <c r="A789">
        <v>2019</v>
      </c>
      <c r="B789" t="s">
        <v>60</v>
      </c>
      <c r="C789" t="s">
        <v>26</v>
      </c>
      <c r="D789" s="2">
        <v>44483</v>
      </c>
      <c r="E789" s="2">
        <v>655188</v>
      </c>
      <c r="F789" s="3">
        <v>70805</v>
      </c>
    </row>
    <row r="790" spans="1:6" x14ac:dyDescent="0.3">
      <c r="A790">
        <v>2019</v>
      </c>
      <c r="B790" t="s">
        <v>60</v>
      </c>
      <c r="C790" t="s">
        <v>27</v>
      </c>
      <c r="D790" s="2">
        <v>32903</v>
      </c>
      <c r="E790" s="2">
        <v>383591</v>
      </c>
      <c r="F790" s="3">
        <v>85736</v>
      </c>
    </row>
    <row r="791" spans="1:6" x14ac:dyDescent="0.3">
      <c r="A791">
        <v>2019</v>
      </c>
      <c r="B791" t="s">
        <v>60</v>
      </c>
      <c r="C791" t="s">
        <v>28</v>
      </c>
      <c r="D791" s="2">
        <v>12421</v>
      </c>
      <c r="E791" s="2">
        <v>108490</v>
      </c>
      <c r="F791" s="3">
        <v>43023</v>
      </c>
    </row>
    <row r="792" spans="1:6" x14ac:dyDescent="0.3">
      <c r="A792">
        <v>2019</v>
      </c>
      <c r="B792" t="s">
        <v>60</v>
      </c>
      <c r="C792" t="s">
        <v>29</v>
      </c>
      <c r="D792" s="2">
        <v>34349</v>
      </c>
      <c r="E792" s="2">
        <v>382484</v>
      </c>
      <c r="F792" s="3">
        <v>68700</v>
      </c>
    </row>
    <row r="793" spans="1:6" x14ac:dyDescent="0.3">
      <c r="A793">
        <v>2019</v>
      </c>
      <c r="B793" t="s">
        <v>60</v>
      </c>
      <c r="C793" t="s">
        <v>30</v>
      </c>
      <c r="D793" s="2">
        <v>9482</v>
      </c>
      <c r="E793" s="2">
        <v>43417</v>
      </c>
      <c r="F793" s="3">
        <v>54553</v>
      </c>
    </row>
    <row r="794" spans="1:6" x14ac:dyDescent="0.3">
      <c r="A794">
        <v>2019</v>
      </c>
      <c r="B794" t="s">
        <v>60</v>
      </c>
      <c r="C794" t="s">
        <v>31</v>
      </c>
      <c r="D794" s="2">
        <v>11737</v>
      </c>
      <c r="E794" s="2">
        <v>120560</v>
      </c>
      <c r="F794" s="3">
        <v>60603</v>
      </c>
    </row>
    <row r="795" spans="1:6" x14ac:dyDescent="0.3">
      <c r="A795">
        <v>2019</v>
      </c>
      <c r="B795" t="s">
        <v>60</v>
      </c>
      <c r="C795" t="s">
        <v>32</v>
      </c>
      <c r="D795" s="2">
        <v>20106</v>
      </c>
      <c r="E795" s="2">
        <v>196204</v>
      </c>
      <c r="F795" s="3">
        <v>62008</v>
      </c>
    </row>
    <row r="796" spans="1:6" x14ac:dyDescent="0.3">
      <c r="A796">
        <v>2019</v>
      </c>
      <c r="B796" t="s">
        <v>60</v>
      </c>
      <c r="C796" t="s">
        <v>33</v>
      </c>
      <c r="D796" s="2">
        <v>12808</v>
      </c>
      <c r="E796" s="2">
        <v>83513</v>
      </c>
      <c r="F796" s="3">
        <v>80647</v>
      </c>
    </row>
    <row r="797" spans="1:6" x14ac:dyDescent="0.3">
      <c r="A797">
        <v>2019</v>
      </c>
      <c r="B797" t="s">
        <v>60</v>
      </c>
      <c r="C797" t="s">
        <v>34</v>
      </c>
      <c r="D797" s="2">
        <v>52040</v>
      </c>
      <c r="E797" s="2">
        <v>677810</v>
      </c>
      <c r="F797" s="3">
        <v>94022</v>
      </c>
    </row>
    <row r="798" spans="1:6" x14ac:dyDescent="0.3">
      <c r="A798">
        <v>2019</v>
      </c>
      <c r="B798" t="s">
        <v>60</v>
      </c>
      <c r="C798" t="s">
        <v>35</v>
      </c>
      <c r="D798" s="2">
        <v>11347</v>
      </c>
      <c r="E798" s="2">
        <v>111478</v>
      </c>
      <c r="F798" s="3">
        <v>64156</v>
      </c>
    </row>
    <row r="799" spans="1:6" x14ac:dyDescent="0.3">
      <c r="A799">
        <v>2019</v>
      </c>
      <c r="B799" t="s">
        <v>60</v>
      </c>
      <c r="C799" t="s">
        <v>36</v>
      </c>
      <c r="D799" s="2">
        <v>112890</v>
      </c>
      <c r="E799" s="2">
        <v>1368950</v>
      </c>
      <c r="F799" s="3">
        <v>99615</v>
      </c>
    </row>
    <row r="800" spans="1:6" x14ac:dyDescent="0.3">
      <c r="A800">
        <v>2019</v>
      </c>
      <c r="B800" t="s">
        <v>60</v>
      </c>
      <c r="C800" t="s">
        <v>37</v>
      </c>
      <c r="D800" s="2">
        <v>61321</v>
      </c>
      <c r="E800" s="2">
        <v>649747</v>
      </c>
      <c r="F800" s="3">
        <v>67705</v>
      </c>
    </row>
    <row r="801" spans="1:6" x14ac:dyDescent="0.3">
      <c r="A801">
        <v>2019</v>
      </c>
      <c r="B801" t="s">
        <v>60</v>
      </c>
      <c r="C801" t="s">
        <v>38</v>
      </c>
      <c r="D801" s="2">
        <v>5198</v>
      </c>
      <c r="E801" s="2">
        <v>32856</v>
      </c>
      <c r="F801" s="3">
        <v>63897</v>
      </c>
    </row>
    <row r="802" spans="1:6" x14ac:dyDescent="0.3">
      <c r="A802">
        <v>2019</v>
      </c>
      <c r="B802" t="s">
        <v>60</v>
      </c>
      <c r="C802" t="s">
        <v>39</v>
      </c>
      <c r="D802" s="2">
        <v>54330</v>
      </c>
      <c r="E802" s="2">
        <v>734963</v>
      </c>
      <c r="F802" s="3">
        <v>66752</v>
      </c>
    </row>
    <row r="803" spans="1:6" x14ac:dyDescent="0.3">
      <c r="A803">
        <v>2019</v>
      </c>
      <c r="B803" t="s">
        <v>60</v>
      </c>
      <c r="C803" t="s">
        <v>40</v>
      </c>
      <c r="D803" s="2">
        <v>21148</v>
      </c>
      <c r="E803" s="2">
        <v>194601</v>
      </c>
      <c r="F803" s="3">
        <v>54841</v>
      </c>
    </row>
    <row r="804" spans="1:6" x14ac:dyDescent="0.3">
      <c r="A804">
        <v>2019</v>
      </c>
      <c r="B804" t="s">
        <v>60</v>
      </c>
      <c r="C804" t="s">
        <v>41</v>
      </c>
      <c r="D804" s="2">
        <v>26161</v>
      </c>
      <c r="E804" s="2">
        <v>253667</v>
      </c>
      <c r="F804" s="3">
        <v>73460</v>
      </c>
    </row>
    <row r="805" spans="1:6" x14ac:dyDescent="0.3">
      <c r="A805">
        <v>2019</v>
      </c>
      <c r="B805" t="s">
        <v>60</v>
      </c>
      <c r="C805" t="s">
        <v>42</v>
      </c>
      <c r="D805" s="2">
        <v>64541</v>
      </c>
      <c r="E805" s="2">
        <v>816358</v>
      </c>
      <c r="F805" s="3">
        <v>81681</v>
      </c>
    </row>
    <row r="806" spans="1:6" x14ac:dyDescent="0.3">
      <c r="A806">
        <v>2019</v>
      </c>
      <c r="B806" t="s">
        <v>60</v>
      </c>
      <c r="C806" t="s">
        <v>43</v>
      </c>
      <c r="D806" s="2">
        <v>9043</v>
      </c>
      <c r="E806" s="2">
        <v>68259</v>
      </c>
      <c r="F806" s="3">
        <v>68454</v>
      </c>
    </row>
    <row r="807" spans="1:6" x14ac:dyDescent="0.3">
      <c r="A807">
        <v>2019</v>
      </c>
      <c r="B807" t="s">
        <v>60</v>
      </c>
      <c r="C807" t="s">
        <v>44</v>
      </c>
      <c r="D807" s="2">
        <v>29329</v>
      </c>
      <c r="E807" s="2">
        <v>298404</v>
      </c>
      <c r="F807" s="3">
        <v>52492</v>
      </c>
    </row>
    <row r="808" spans="1:6" x14ac:dyDescent="0.3">
      <c r="A808">
        <v>2019</v>
      </c>
      <c r="B808" t="s">
        <v>60</v>
      </c>
      <c r="C808" t="s">
        <v>45</v>
      </c>
      <c r="D808" s="2">
        <v>5498</v>
      </c>
      <c r="E808" s="2">
        <v>33117</v>
      </c>
      <c r="F808" s="3">
        <v>58619</v>
      </c>
    </row>
    <row r="809" spans="1:6" x14ac:dyDescent="0.3">
      <c r="A809">
        <v>2019</v>
      </c>
      <c r="B809" t="s">
        <v>60</v>
      </c>
      <c r="C809" t="s">
        <v>46</v>
      </c>
      <c r="D809" s="2">
        <v>30774</v>
      </c>
      <c r="E809" s="2">
        <v>425933</v>
      </c>
      <c r="F809" s="3">
        <v>62990</v>
      </c>
    </row>
    <row r="810" spans="1:6" x14ac:dyDescent="0.3">
      <c r="A810">
        <v>2019</v>
      </c>
      <c r="B810" t="s">
        <v>60</v>
      </c>
      <c r="C810" t="s">
        <v>47</v>
      </c>
      <c r="D810" s="2">
        <v>139953</v>
      </c>
      <c r="E810" s="2">
        <v>1794316</v>
      </c>
      <c r="F810" s="3">
        <v>77197</v>
      </c>
    </row>
    <row r="811" spans="1:6" x14ac:dyDescent="0.3">
      <c r="A811">
        <v>2019</v>
      </c>
      <c r="B811" t="s">
        <v>60</v>
      </c>
      <c r="C811" t="s">
        <v>48</v>
      </c>
      <c r="D811" s="2">
        <v>24485</v>
      </c>
      <c r="E811" s="2">
        <v>221851</v>
      </c>
      <c r="F811" s="3">
        <v>64641</v>
      </c>
    </row>
    <row r="812" spans="1:6" x14ac:dyDescent="0.3">
      <c r="A812">
        <v>2019</v>
      </c>
      <c r="B812" t="s">
        <v>60</v>
      </c>
      <c r="C812" t="s">
        <v>49</v>
      </c>
      <c r="D812" s="2">
        <v>5970</v>
      </c>
      <c r="E812" s="2">
        <v>29394</v>
      </c>
      <c r="F812" s="3">
        <v>68986</v>
      </c>
    </row>
    <row r="813" spans="1:6" x14ac:dyDescent="0.3">
      <c r="A813">
        <v>2019</v>
      </c>
      <c r="B813" t="s">
        <v>60</v>
      </c>
      <c r="C813" t="s">
        <v>50</v>
      </c>
      <c r="D813" s="2">
        <v>59342</v>
      </c>
      <c r="E813" s="2">
        <v>762590</v>
      </c>
      <c r="F813" s="3">
        <v>90327</v>
      </c>
    </row>
    <row r="814" spans="1:6" x14ac:dyDescent="0.3">
      <c r="A814">
        <v>2019</v>
      </c>
      <c r="B814" t="s">
        <v>60</v>
      </c>
      <c r="C814" t="s">
        <v>51</v>
      </c>
      <c r="D814" s="2">
        <v>41249</v>
      </c>
      <c r="E814" s="2">
        <v>425615</v>
      </c>
      <c r="F814" s="3">
        <v>85460</v>
      </c>
    </row>
    <row r="815" spans="1:6" x14ac:dyDescent="0.3">
      <c r="A815">
        <v>2019</v>
      </c>
      <c r="B815" t="s">
        <v>60</v>
      </c>
      <c r="C815" t="s">
        <v>52</v>
      </c>
      <c r="D815" s="2">
        <v>8381</v>
      </c>
      <c r="E815" s="2">
        <v>69069</v>
      </c>
      <c r="F815" s="3">
        <v>52180</v>
      </c>
    </row>
    <row r="816" spans="1:6" x14ac:dyDescent="0.3">
      <c r="A816">
        <v>2019</v>
      </c>
      <c r="B816" t="s">
        <v>60</v>
      </c>
      <c r="C816" t="s">
        <v>53</v>
      </c>
      <c r="D816" s="2">
        <v>26927</v>
      </c>
      <c r="E816" s="2">
        <v>326120</v>
      </c>
      <c r="F816" s="3">
        <v>63192</v>
      </c>
    </row>
    <row r="817" spans="1:6" x14ac:dyDescent="0.3">
      <c r="A817">
        <v>2019</v>
      </c>
      <c r="B817" t="s">
        <v>60</v>
      </c>
      <c r="C817" t="s">
        <v>54</v>
      </c>
      <c r="D817" s="2">
        <v>4728</v>
      </c>
      <c r="E817" s="2">
        <v>19196</v>
      </c>
      <c r="F817" s="3">
        <v>56253</v>
      </c>
    </row>
    <row r="818" spans="1:6" x14ac:dyDescent="0.3">
      <c r="A818">
        <v>2019</v>
      </c>
      <c r="B818" t="s">
        <v>61</v>
      </c>
      <c r="C818" t="s">
        <v>7</v>
      </c>
      <c r="D818" s="2">
        <v>13692</v>
      </c>
      <c r="E818" s="2">
        <v>238078</v>
      </c>
      <c r="F818" s="3">
        <v>47785</v>
      </c>
    </row>
    <row r="819" spans="1:6" x14ac:dyDescent="0.3">
      <c r="A819">
        <v>2019</v>
      </c>
      <c r="B819" t="s">
        <v>61</v>
      </c>
      <c r="C819" t="s">
        <v>8</v>
      </c>
      <c r="D819" s="2">
        <v>19924</v>
      </c>
      <c r="E819" s="2">
        <v>457984</v>
      </c>
      <c r="F819" s="3">
        <v>52632</v>
      </c>
    </row>
    <row r="820" spans="1:6" x14ac:dyDescent="0.3">
      <c r="A820">
        <v>2019</v>
      </c>
      <c r="B820" t="s">
        <v>61</v>
      </c>
      <c r="C820" t="s">
        <v>9</v>
      </c>
      <c r="D820" s="2">
        <v>15780</v>
      </c>
      <c r="E820" s="2">
        <v>187607</v>
      </c>
      <c r="F820" s="3">
        <v>43983</v>
      </c>
    </row>
    <row r="821" spans="1:6" x14ac:dyDescent="0.3">
      <c r="A821">
        <v>2019</v>
      </c>
      <c r="B821" t="s">
        <v>61</v>
      </c>
      <c r="C821" t="s">
        <v>10</v>
      </c>
      <c r="D821" s="2">
        <v>639529</v>
      </c>
      <c r="E821" s="2">
        <v>2734574</v>
      </c>
      <c r="F821" s="3">
        <v>53909</v>
      </c>
    </row>
    <row r="822" spans="1:6" x14ac:dyDescent="0.3">
      <c r="A822">
        <v>2019</v>
      </c>
      <c r="B822" t="s">
        <v>61</v>
      </c>
      <c r="C822" t="s">
        <v>11</v>
      </c>
      <c r="D822" s="2">
        <v>21747</v>
      </c>
      <c r="E822" s="2">
        <v>341496</v>
      </c>
      <c r="F822" s="3">
        <v>51600</v>
      </c>
    </row>
    <row r="823" spans="1:6" x14ac:dyDescent="0.3">
      <c r="A823">
        <v>2019</v>
      </c>
      <c r="B823" t="s">
        <v>61</v>
      </c>
      <c r="C823" t="s">
        <v>12</v>
      </c>
      <c r="D823" s="2">
        <v>13478</v>
      </c>
      <c r="E823" s="2">
        <v>330418</v>
      </c>
      <c r="F823" s="3">
        <v>57419</v>
      </c>
    </row>
    <row r="824" spans="1:6" x14ac:dyDescent="0.3">
      <c r="A824">
        <v>2019</v>
      </c>
      <c r="B824" t="s">
        <v>61</v>
      </c>
      <c r="C824" t="s">
        <v>13</v>
      </c>
      <c r="D824" s="2">
        <v>5386</v>
      </c>
      <c r="E824" s="2">
        <v>76932</v>
      </c>
      <c r="F824" s="3">
        <v>55284</v>
      </c>
    </row>
    <row r="825" spans="1:6" x14ac:dyDescent="0.3">
      <c r="A825">
        <v>2019</v>
      </c>
      <c r="B825" t="s">
        <v>61</v>
      </c>
      <c r="C825" t="s">
        <v>14</v>
      </c>
      <c r="D825" s="2">
        <v>76615</v>
      </c>
      <c r="E825" s="2">
        <v>1324281</v>
      </c>
      <c r="F825" s="3">
        <v>52039</v>
      </c>
    </row>
    <row r="826" spans="1:6" x14ac:dyDescent="0.3">
      <c r="A826">
        <v>2019</v>
      </c>
      <c r="B826" t="s">
        <v>61</v>
      </c>
      <c r="C826" t="s">
        <v>15</v>
      </c>
      <c r="D826" s="2">
        <v>29998</v>
      </c>
      <c r="E826" s="2">
        <v>580134</v>
      </c>
      <c r="F826" s="3">
        <v>53810</v>
      </c>
    </row>
    <row r="827" spans="1:6" x14ac:dyDescent="0.3">
      <c r="A827">
        <v>2019</v>
      </c>
      <c r="B827" t="s">
        <v>61</v>
      </c>
      <c r="C827" t="s">
        <v>16</v>
      </c>
      <c r="D827" s="2">
        <v>8163</v>
      </c>
      <c r="E827" s="2">
        <v>105424</v>
      </c>
      <c r="F827" s="3">
        <v>43475</v>
      </c>
    </row>
    <row r="828" spans="1:6" x14ac:dyDescent="0.3">
      <c r="A828">
        <v>2019</v>
      </c>
      <c r="B828" t="s">
        <v>61</v>
      </c>
      <c r="C828" t="s">
        <v>17</v>
      </c>
      <c r="D828" s="2">
        <v>35102</v>
      </c>
      <c r="E828" s="2">
        <v>924699</v>
      </c>
      <c r="F828" s="3">
        <v>52038</v>
      </c>
    </row>
    <row r="829" spans="1:6" x14ac:dyDescent="0.3">
      <c r="A829">
        <v>2019</v>
      </c>
      <c r="B829" t="s">
        <v>61</v>
      </c>
      <c r="C829" t="s">
        <v>18</v>
      </c>
      <c r="D829" s="2">
        <v>16247</v>
      </c>
      <c r="E829" s="2">
        <v>468491</v>
      </c>
      <c r="F829" s="3">
        <v>49107</v>
      </c>
    </row>
    <row r="830" spans="1:6" x14ac:dyDescent="0.3">
      <c r="A830">
        <v>2019</v>
      </c>
      <c r="B830" t="s">
        <v>61</v>
      </c>
      <c r="C830" t="s">
        <v>19</v>
      </c>
      <c r="D830" s="2">
        <v>11966</v>
      </c>
      <c r="E830" s="2">
        <v>219013</v>
      </c>
      <c r="F830" s="3">
        <v>44392</v>
      </c>
    </row>
    <row r="831" spans="1:6" x14ac:dyDescent="0.3">
      <c r="A831">
        <v>2019</v>
      </c>
      <c r="B831" t="s">
        <v>61</v>
      </c>
      <c r="C831" t="s">
        <v>20</v>
      </c>
      <c r="D831" s="2">
        <v>10085</v>
      </c>
      <c r="E831" s="2">
        <v>197874</v>
      </c>
      <c r="F831" s="3">
        <v>43909</v>
      </c>
    </row>
    <row r="832" spans="1:6" x14ac:dyDescent="0.3">
      <c r="A832">
        <v>2019</v>
      </c>
      <c r="B832" t="s">
        <v>61</v>
      </c>
      <c r="C832" t="s">
        <v>21</v>
      </c>
      <c r="D832" s="2">
        <v>18442</v>
      </c>
      <c r="E832" s="2">
        <v>272579</v>
      </c>
      <c r="F832" s="3">
        <v>49141</v>
      </c>
    </row>
    <row r="833" spans="1:6" x14ac:dyDescent="0.3">
      <c r="A833">
        <v>2019</v>
      </c>
      <c r="B833" t="s">
        <v>61</v>
      </c>
      <c r="C833" t="s">
        <v>22</v>
      </c>
      <c r="D833" s="2">
        <v>16110</v>
      </c>
      <c r="E833" s="2">
        <v>305742</v>
      </c>
      <c r="F833" s="3">
        <v>44832</v>
      </c>
    </row>
    <row r="834" spans="1:6" x14ac:dyDescent="0.3">
      <c r="A834">
        <v>2019</v>
      </c>
      <c r="B834" t="s">
        <v>61</v>
      </c>
      <c r="C834" t="s">
        <v>23</v>
      </c>
      <c r="D834" s="2">
        <v>5474</v>
      </c>
      <c r="E834" s="2">
        <v>120085</v>
      </c>
      <c r="F834" s="3">
        <v>49342</v>
      </c>
    </row>
    <row r="835" spans="1:6" x14ac:dyDescent="0.3">
      <c r="A835">
        <v>2019</v>
      </c>
      <c r="B835" t="s">
        <v>61</v>
      </c>
      <c r="C835" t="s">
        <v>24</v>
      </c>
      <c r="D835" s="2">
        <v>21419</v>
      </c>
      <c r="E835" s="2">
        <v>451332</v>
      </c>
      <c r="F835" s="3">
        <v>55476</v>
      </c>
    </row>
    <row r="836" spans="1:6" x14ac:dyDescent="0.3">
      <c r="A836">
        <v>2019</v>
      </c>
      <c r="B836" t="s">
        <v>61</v>
      </c>
      <c r="C836" t="s">
        <v>25</v>
      </c>
      <c r="D836" s="2">
        <v>68761</v>
      </c>
      <c r="E836" s="2">
        <v>790552</v>
      </c>
      <c r="F836" s="3">
        <v>59886</v>
      </c>
    </row>
    <row r="837" spans="1:6" x14ac:dyDescent="0.3">
      <c r="A837">
        <v>2019</v>
      </c>
      <c r="B837" t="s">
        <v>61</v>
      </c>
      <c r="C837" t="s">
        <v>26</v>
      </c>
      <c r="D837" s="2">
        <v>25357</v>
      </c>
      <c r="E837" s="2">
        <v>661203</v>
      </c>
      <c r="F837" s="3">
        <v>50845</v>
      </c>
    </row>
    <row r="838" spans="1:6" x14ac:dyDescent="0.3">
      <c r="A838">
        <v>2019</v>
      </c>
      <c r="B838" t="s">
        <v>61</v>
      </c>
      <c r="C838" t="s">
        <v>27</v>
      </c>
      <c r="D838" s="2">
        <v>20728</v>
      </c>
      <c r="E838" s="2">
        <v>530749</v>
      </c>
      <c r="F838" s="3">
        <v>52656</v>
      </c>
    </row>
    <row r="839" spans="1:6" x14ac:dyDescent="0.3">
      <c r="A839">
        <v>2019</v>
      </c>
      <c r="B839" t="s">
        <v>61</v>
      </c>
      <c r="C839" t="s">
        <v>28</v>
      </c>
      <c r="D839" s="2">
        <v>7557</v>
      </c>
      <c r="E839" s="2">
        <v>146077</v>
      </c>
      <c r="F839" s="3">
        <v>42620</v>
      </c>
    </row>
    <row r="840" spans="1:6" x14ac:dyDescent="0.3">
      <c r="A840">
        <v>2019</v>
      </c>
      <c r="B840" t="s">
        <v>61</v>
      </c>
      <c r="C840" t="s">
        <v>29</v>
      </c>
      <c r="D840" s="2">
        <v>52078</v>
      </c>
      <c r="E840" s="2">
        <v>462462</v>
      </c>
      <c r="F840" s="3">
        <v>47562</v>
      </c>
    </row>
    <row r="841" spans="1:6" x14ac:dyDescent="0.3">
      <c r="A841">
        <v>2019</v>
      </c>
      <c r="B841" t="s">
        <v>61</v>
      </c>
      <c r="C841" t="s">
        <v>30</v>
      </c>
      <c r="D841" s="2">
        <v>4834</v>
      </c>
      <c r="E841" s="2">
        <v>74646</v>
      </c>
      <c r="F841" s="3">
        <v>49258</v>
      </c>
    </row>
    <row r="842" spans="1:6" x14ac:dyDescent="0.3">
      <c r="A842">
        <v>2019</v>
      </c>
      <c r="B842" t="s">
        <v>61</v>
      </c>
      <c r="C842" t="s">
        <v>31</v>
      </c>
      <c r="D842" s="2">
        <v>11559</v>
      </c>
      <c r="E842" s="2">
        <v>139275</v>
      </c>
      <c r="F842" s="3">
        <v>48735</v>
      </c>
    </row>
    <row r="843" spans="1:6" x14ac:dyDescent="0.3">
      <c r="A843">
        <v>2019</v>
      </c>
      <c r="B843" t="s">
        <v>61</v>
      </c>
      <c r="C843" t="s">
        <v>32</v>
      </c>
      <c r="D843" s="2">
        <v>8934</v>
      </c>
      <c r="E843" s="2">
        <v>143417</v>
      </c>
      <c r="F843" s="3">
        <v>54808</v>
      </c>
    </row>
    <row r="844" spans="1:6" x14ac:dyDescent="0.3">
      <c r="A844">
        <v>2019</v>
      </c>
      <c r="B844" t="s">
        <v>61</v>
      </c>
      <c r="C844" t="s">
        <v>33</v>
      </c>
      <c r="D844" s="2">
        <v>4773</v>
      </c>
      <c r="E844" s="2">
        <v>114430</v>
      </c>
      <c r="F844" s="3">
        <v>58363</v>
      </c>
    </row>
    <row r="845" spans="1:6" x14ac:dyDescent="0.3">
      <c r="A845">
        <v>2019</v>
      </c>
      <c r="B845" t="s">
        <v>61</v>
      </c>
      <c r="C845" t="s">
        <v>34</v>
      </c>
      <c r="D845" s="2">
        <v>40687</v>
      </c>
      <c r="E845" s="2">
        <v>670070</v>
      </c>
      <c r="F845" s="3">
        <v>55124</v>
      </c>
    </row>
    <row r="846" spans="1:6" x14ac:dyDescent="0.3">
      <c r="A846">
        <v>2019</v>
      </c>
      <c r="B846" t="s">
        <v>61</v>
      </c>
      <c r="C846" t="s">
        <v>35</v>
      </c>
      <c r="D846" s="2">
        <v>10974</v>
      </c>
      <c r="E846" s="2">
        <v>130181</v>
      </c>
      <c r="F846" s="3">
        <v>42852</v>
      </c>
    </row>
    <row r="847" spans="1:6" x14ac:dyDescent="0.3">
      <c r="A847">
        <v>2019</v>
      </c>
      <c r="B847" t="s">
        <v>61</v>
      </c>
      <c r="C847" t="s">
        <v>36</v>
      </c>
      <c r="D847" s="2">
        <v>67202</v>
      </c>
      <c r="E847" s="2">
        <v>1981493</v>
      </c>
      <c r="F847" s="3">
        <v>54638</v>
      </c>
    </row>
    <row r="848" spans="1:6" x14ac:dyDescent="0.3">
      <c r="A848">
        <v>2019</v>
      </c>
      <c r="B848" t="s">
        <v>61</v>
      </c>
      <c r="C848" t="s">
        <v>37</v>
      </c>
      <c r="D848" s="2">
        <v>28199</v>
      </c>
      <c r="E848" s="2">
        <v>606564</v>
      </c>
      <c r="F848" s="3">
        <v>50123</v>
      </c>
    </row>
    <row r="849" spans="1:6" x14ac:dyDescent="0.3">
      <c r="A849">
        <v>2019</v>
      </c>
      <c r="B849" t="s">
        <v>61</v>
      </c>
      <c r="C849" t="s">
        <v>38</v>
      </c>
      <c r="D849" s="2">
        <v>2581</v>
      </c>
      <c r="E849" s="2">
        <v>65771</v>
      </c>
      <c r="F849" s="3">
        <v>52585</v>
      </c>
    </row>
    <row r="850" spans="1:6" x14ac:dyDescent="0.3">
      <c r="A850">
        <v>2019</v>
      </c>
      <c r="B850" t="s">
        <v>61</v>
      </c>
      <c r="C850" t="s">
        <v>39</v>
      </c>
      <c r="D850" s="2">
        <v>35525</v>
      </c>
      <c r="E850" s="2">
        <v>908891</v>
      </c>
      <c r="F850" s="3">
        <v>47891</v>
      </c>
    </row>
    <row r="851" spans="1:6" x14ac:dyDescent="0.3">
      <c r="A851">
        <v>2019</v>
      </c>
      <c r="B851" t="s">
        <v>61</v>
      </c>
      <c r="C851" t="s">
        <v>40</v>
      </c>
      <c r="D851" s="2">
        <v>13345</v>
      </c>
      <c r="E851" s="2">
        <v>213244</v>
      </c>
      <c r="F851" s="3">
        <v>46841</v>
      </c>
    </row>
    <row r="852" spans="1:6" x14ac:dyDescent="0.3">
      <c r="A852">
        <v>2019</v>
      </c>
      <c r="B852" t="s">
        <v>61</v>
      </c>
      <c r="C852" t="s">
        <v>41</v>
      </c>
      <c r="D852" s="2">
        <v>16113</v>
      </c>
      <c r="E852" s="2">
        <v>295311</v>
      </c>
      <c r="F852" s="3">
        <v>51842</v>
      </c>
    </row>
    <row r="853" spans="1:6" x14ac:dyDescent="0.3">
      <c r="A853">
        <v>2019</v>
      </c>
      <c r="B853" t="s">
        <v>61</v>
      </c>
      <c r="C853" t="s">
        <v>42</v>
      </c>
      <c r="D853" s="2">
        <v>57945</v>
      </c>
      <c r="E853" s="2">
        <v>1230922</v>
      </c>
      <c r="F853" s="3">
        <v>53416</v>
      </c>
    </row>
    <row r="854" spans="1:6" x14ac:dyDescent="0.3">
      <c r="A854">
        <v>2019</v>
      </c>
      <c r="B854" t="s">
        <v>61</v>
      </c>
      <c r="C854" t="s">
        <v>43</v>
      </c>
      <c r="D854" s="2">
        <v>4664</v>
      </c>
      <c r="E854" s="2">
        <v>102395</v>
      </c>
      <c r="F854" s="3">
        <v>50458</v>
      </c>
    </row>
    <row r="855" spans="1:6" x14ac:dyDescent="0.3">
      <c r="A855">
        <v>2019</v>
      </c>
      <c r="B855" t="s">
        <v>61</v>
      </c>
      <c r="C855" t="s">
        <v>44</v>
      </c>
      <c r="D855" s="2">
        <v>12757</v>
      </c>
      <c r="E855" s="2">
        <v>237600</v>
      </c>
      <c r="F855" s="3">
        <v>47296</v>
      </c>
    </row>
    <row r="856" spans="1:6" x14ac:dyDescent="0.3">
      <c r="A856">
        <v>2019</v>
      </c>
      <c r="B856" t="s">
        <v>61</v>
      </c>
      <c r="C856" t="s">
        <v>45</v>
      </c>
      <c r="D856" s="2">
        <v>2904</v>
      </c>
      <c r="E856" s="2">
        <v>68913</v>
      </c>
      <c r="F856" s="3">
        <v>52412</v>
      </c>
    </row>
    <row r="857" spans="1:6" x14ac:dyDescent="0.3">
      <c r="A857">
        <v>2019</v>
      </c>
      <c r="B857" t="s">
        <v>61</v>
      </c>
      <c r="C857" t="s">
        <v>46</v>
      </c>
      <c r="D857" s="2">
        <v>16563</v>
      </c>
      <c r="E857" s="2">
        <v>427328</v>
      </c>
      <c r="F857" s="3">
        <v>53183</v>
      </c>
    </row>
    <row r="858" spans="1:6" x14ac:dyDescent="0.3">
      <c r="A858">
        <v>2019</v>
      </c>
      <c r="B858" t="s">
        <v>61</v>
      </c>
      <c r="C858" t="s">
        <v>47</v>
      </c>
      <c r="D858" s="2">
        <v>94237</v>
      </c>
      <c r="E858" s="2">
        <v>1684606</v>
      </c>
      <c r="F858" s="3">
        <v>49322</v>
      </c>
    </row>
    <row r="859" spans="1:6" x14ac:dyDescent="0.3">
      <c r="A859">
        <v>2019</v>
      </c>
      <c r="B859" t="s">
        <v>61</v>
      </c>
      <c r="C859" t="s">
        <v>48</v>
      </c>
      <c r="D859" s="2">
        <v>12857</v>
      </c>
      <c r="E859" s="2">
        <v>193373</v>
      </c>
      <c r="F859" s="3">
        <v>44983</v>
      </c>
    </row>
    <row r="860" spans="1:6" x14ac:dyDescent="0.3">
      <c r="A860">
        <v>2019</v>
      </c>
      <c r="B860" t="s">
        <v>61</v>
      </c>
      <c r="C860" t="s">
        <v>49</v>
      </c>
      <c r="D860" s="2">
        <v>2503</v>
      </c>
      <c r="E860" s="2">
        <v>62317</v>
      </c>
      <c r="F860" s="3">
        <v>48501</v>
      </c>
    </row>
    <row r="861" spans="1:6" x14ac:dyDescent="0.3">
      <c r="A861">
        <v>2019</v>
      </c>
      <c r="B861" t="s">
        <v>61</v>
      </c>
      <c r="C861" t="s">
        <v>50</v>
      </c>
      <c r="D861" s="2">
        <v>50144</v>
      </c>
      <c r="E861" s="2">
        <v>517645</v>
      </c>
      <c r="F861" s="3">
        <v>50876</v>
      </c>
    </row>
    <row r="862" spans="1:6" x14ac:dyDescent="0.3">
      <c r="A862">
        <v>2019</v>
      </c>
      <c r="B862" t="s">
        <v>61</v>
      </c>
      <c r="C862" t="s">
        <v>51</v>
      </c>
      <c r="D862" s="2">
        <v>64023</v>
      </c>
      <c r="E862" s="2">
        <v>478274</v>
      </c>
      <c r="F862" s="3">
        <v>53267</v>
      </c>
    </row>
    <row r="863" spans="1:6" x14ac:dyDescent="0.3">
      <c r="A863">
        <v>2019</v>
      </c>
      <c r="B863" t="s">
        <v>61</v>
      </c>
      <c r="C863" t="s">
        <v>52</v>
      </c>
      <c r="D863" s="2">
        <v>5755</v>
      </c>
      <c r="E863" s="2">
        <v>125528</v>
      </c>
      <c r="F863" s="3">
        <v>47876</v>
      </c>
    </row>
    <row r="864" spans="1:6" x14ac:dyDescent="0.3">
      <c r="A864">
        <v>2019</v>
      </c>
      <c r="B864" t="s">
        <v>61</v>
      </c>
      <c r="C864" t="s">
        <v>53</v>
      </c>
      <c r="D864" s="2">
        <v>29257</v>
      </c>
      <c r="E864" s="2">
        <v>440255</v>
      </c>
      <c r="F864" s="3">
        <v>50951</v>
      </c>
    </row>
    <row r="865" spans="1:6" x14ac:dyDescent="0.3">
      <c r="A865">
        <v>2019</v>
      </c>
      <c r="B865" t="s">
        <v>61</v>
      </c>
      <c r="C865" t="s">
        <v>54</v>
      </c>
      <c r="D865" s="2">
        <v>3384</v>
      </c>
      <c r="E865" s="2">
        <v>27323</v>
      </c>
      <c r="F865" s="3">
        <v>44083</v>
      </c>
    </row>
    <row r="866" spans="1:6" x14ac:dyDescent="0.3">
      <c r="A866">
        <v>2019</v>
      </c>
      <c r="B866" t="s">
        <v>62</v>
      </c>
      <c r="C866" t="s">
        <v>7</v>
      </c>
      <c r="D866" s="2">
        <v>11180</v>
      </c>
      <c r="E866" s="2">
        <v>208446</v>
      </c>
      <c r="F866" s="3">
        <v>17618</v>
      </c>
    </row>
    <row r="867" spans="1:6" x14ac:dyDescent="0.3">
      <c r="A867">
        <v>2019</v>
      </c>
      <c r="B867" t="s">
        <v>62</v>
      </c>
      <c r="C867" t="s">
        <v>8</v>
      </c>
      <c r="D867" s="2">
        <v>14256</v>
      </c>
      <c r="E867" s="2">
        <v>331295</v>
      </c>
      <c r="F867" s="3">
        <v>25557</v>
      </c>
    </row>
    <row r="868" spans="1:6" x14ac:dyDescent="0.3">
      <c r="A868">
        <v>2019</v>
      </c>
      <c r="B868" t="s">
        <v>62</v>
      </c>
      <c r="C868" t="s">
        <v>9</v>
      </c>
      <c r="D868" s="2">
        <v>7315</v>
      </c>
      <c r="E868" s="2">
        <v>120644</v>
      </c>
      <c r="F868" s="3">
        <v>17299</v>
      </c>
    </row>
    <row r="869" spans="1:6" x14ac:dyDescent="0.3">
      <c r="A869">
        <v>2019</v>
      </c>
      <c r="B869" t="s">
        <v>62</v>
      </c>
      <c r="C869" t="s">
        <v>10</v>
      </c>
      <c r="D869" s="2">
        <v>116191</v>
      </c>
      <c r="E869" s="2">
        <v>2034920</v>
      </c>
      <c r="F869" s="3">
        <v>32379</v>
      </c>
    </row>
    <row r="870" spans="1:6" x14ac:dyDescent="0.3">
      <c r="A870">
        <v>2019</v>
      </c>
      <c r="B870" t="s">
        <v>62</v>
      </c>
      <c r="C870" t="s">
        <v>11</v>
      </c>
      <c r="D870" s="2">
        <v>17317</v>
      </c>
      <c r="E870" s="2">
        <v>344935</v>
      </c>
      <c r="F870" s="3">
        <v>27131</v>
      </c>
    </row>
    <row r="871" spans="1:6" x14ac:dyDescent="0.3">
      <c r="A871">
        <v>2019</v>
      </c>
      <c r="B871" t="s">
        <v>62</v>
      </c>
      <c r="C871" t="s">
        <v>12</v>
      </c>
      <c r="D871" s="2">
        <v>10917</v>
      </c>
      <c r="E871" s="2">
        <v>157574</v>
      </c>
      <c r="F871" s="3">
        <v>24451</v>
      </c>
    </row>
    <row r="872" spans="1:6" x14ac:dyDescent="0.3">
      <c r="A872">
        <v>2019</v>
      </c>
      <c r="B872" t="s">
        <v>62</v>
      </c>
      <c r="C872" t="s">
        <v>13</v>
      </c>
      <c r="D872" s="2">
        <v>2710</v>
      </c>
      <c r="E872" s="2">
        <v>53038</v>
      </c>
      <c r="F872" s="3">
        <v>21264</v>
      </c>
    </row>
    <row r="873" spans="1:6" x14ac:dyDescent="0.3">
      <c r="A873">
        <v>2019</v>
      </c>
      <c r="B873" t="s">
        <v>62</v>
      </c>
      <c r="C873" t="s">
        <v>14</v>
      </c>
      <c r="D873" s="2">
        <v>58596</v>
      </c>
      <c r="E873" s="2">
        <v>1257201</v>
      </c>
      <c r="F873" s="3">
        <v>26675</v>
      </c>
    </row>
    <row r="874" spans="1:6" x14ac:dyDescent="0.3">
      <c r="A874">
        <v>2019</v>
      </c>
      <c r="B874" t="s">
        <v>62</v>
      </c>
      <c r="C874" t="s">
        <v>15</v>
      </c>
      <c r="D874" s="2">
        <v>25254</v>
      </c>
      <c r="E874" s="2">
        <v>498529</v>
      </c>
      <c r="F874" s="3">
        <v>21342</v>
      </c>
    </row>
    <row r="875" spans="1:6" x14ac:dyDescent="0.3">
      <c r="A875">
        <v>2019</v>
      </c>
      <c r="B875" t="s">
        <v>62</v>
      </c>
      <c r="C875" t="s">
        <v>16</v>
      </c>
      <c r="D875" s="2">
        <v>5038</v>
      </c>
      <c r="E875" s="2">
        <v>82521</v>
      </c>
      <c r="F875" s="3">
        <v>17770</v>
      </c>
    </row>
    <row r="876" spans="1:6" x14ac:dyDescent="0.3">
      <c r="A876">
        <v>2019</v>
      </c>
      <c r="B876" t="s">
        <v>62</v>
      </c>
      <c r="C876" t="s">
        <v>17</v>
      </c>
      <c r="D876" s="2">
        <v>33183</v>
      </c>
      <c r="E876" s="2">
        <v>622987</v>
      </c>
      <c r="F876" s="3">
        <v>24703</v>
      </c>
    </row>
    <row r="877" spans="1:6" x14ac:dyDescent="0.3">
      <c r="A877">
        <v>2019</v>
      </c>
      <c r="B877" t="s">
        <v>62</v>
      </c>
      <c r="C877" t="s">
        <v>18</v>
      </c>
      <c r="D877" s="2">
        <v>15776</v>
      </c>
      <c r="E877" s="2">
        <v>313889</v>
      </c>
      <c r="F877" s="3">
        <v>19660</v>
      </c>
    </row>
    <row r="878" spans="1:6" x14ac:dyDescent="0.3">
      <c r="A878">
        <v>2019</v>
      </c>
      <c r="B878" t="s">
        <v>62</v>
      </c>
      <c r="C878" t="s">
        <v>19</v>
      </c>
      <c r="D878" s="2">
        <v>8796</v>
      </c>
      <c r="E878" s="2">
        <v>144265</v>
      </c>
      <c r="F878" s="3">
        <v>17261</v>
      </c>
    </row>
    <row r="879" spans="1:6" x14ac:dyDescent="0.3">
      <c r="A879">
        <v>2019</v>
      </c>
      <c r="B879" t="s">
        <v>62</v>
      </c>
      <c r="C879" t="s">
        <v>20</v>
      </c>
      <c r="D879" s="2">
        <v>6871</v>
      </c>
      <c r="E879" s="2">
        <v>130101</v>
      </c>
      <c r="F879" s="3">
        <v>17333</v>
      </c>
    </row>
    <row r="880" spans="1:6" x14ac:dyDescent="0.3">
      <c r="A880">
        <v>2019</v>
      </c>
      <c r="B880" t="s">
        <v>62</v>
      </c>
      <c r="C880" t="s">
        <v>21</v>
      </c>
      <c r="D880" s="2">
        <v>10118</v>
      </c>
      <c r="E880" s="2">
        <v>201748</v>
      </c>
      <c r="F880" s="3">
        <v>18350</v>
      </c>
    </row>
    <row r="881" spans="1:6" x14ac:dyDescent="0.3">
      <c r="A881">
        <v>2019</v>
      </c>
      <c r="B881" t="s">
        <v>62</v>
      </c>
      <c r="C881" t="s">
        <v>22</v>
      </c>
      <c r="D881" s="2">
        <v>12912</v>
      </c>
      <c r="E881" s="2">
        <v>237469</v>
      </c>
      <c r="F881" s="3">
        <v>21789</v>
      </c>
    </row>
    <row r="882" spans="1:6" x14ac:dyDescent="0.3">
      <c r="A882">
        <v>2019</v>
      </c>
      <c r="B882" t="s">
        <v>62</v>
      </c>
      <c r="C882" t="s">
        <v>23</v>
      </c>
      <c r="D882" s="2">
        <v>5132</v>
      </c>
      <c r="E882" s="2">
        <v>69501</v>
      </c>
      <c r="F882" s="3">
        <v>23169</v>
      </c>
    </row>
    <row r="883" spans="1:6" x14ac:dyDescent="0.3">
      <c r="A883">
        <v>2019</v>
      </c>
      <c r="B883" t="s">
        <v>62</v>
      </c>
      <c r="C883" t="s">
        <v>24</v>
      </c>
      <c r="D883" s="2">
        <v>15043</v>
      </c>
      <c r="E883" s="2">
        <v>282746</v>
      </c>
      <c r="F883" s="3">
        <v>24758</v>
      </c>
    </row>
    <row r="884" spans="1:6" x14ac:dyDescent="0.3">
      <c r="A884">
        <v>2019</v>
      </c>
      <c r="B884" t="s">
        <v>62</v>
      </c>
      <c r="C884" t="s">
        <v>25</v>
      </c>
      <c r="D884" s="2">
        <v>20740</v>
      </c>
      <c r="E884" s="2">
        <v>379863</v>
      </c>
      <c r="F884" s="3">
        <v>29500</v>
      </c>
    </row>
    <row r="885" spans="1:6" x14ac:dyDescent="0.3">
      <c r="A885">
        <v>2019</v>
      </c>
      <c r="B885" t="s">
        <v>62</v>
      </c>
      <c r="C885" t="s">
        <v>26</v>
      </c>
      <c r="D885" s="2">
        <v>23113</v>
      </c>
      <c r="E885" s="2">
        <v>434299</v>
      </c>
      <c r="F885" s="3">
        <v>21121</v>
      </c>
    </row>
    <row r="886" spans="1:6" x14ac:dyDescent="0.3">
      <c r="A886">
        <v>2019</v>
      </c>
      <c r="B886" t="s">
        <v>62</v>
      </c>
      <c r="C886" t="s">
        <v>27</v>
      </c>
      <c r="D886" s="2">
        <v>15325</v>
      </c>
      <c r="E886" s="2">
        <v>275608</v>
      </c>
      <c r="F886" s="3">
        <v>23261</v>
      </c>
    </row>
    <row r="887" spans="1:6" x14ac:dyDescent="0.3">
      <c r="A887">
        <v>2019</v>
      </c>
      <c r="B887" t="s">
        <v>62</v>
      </c>
      <c r="C887" t="s">
        <v>28</v>
      </c>
      <c r="D887" s="2">
        <v>6514</v>
      </c>
      <c r="E887" s="2">
        <v>136282</v>
      </c>
      <c r="F887" s="3">
        <v>17817</v>
      </c>
    </row>
    <row r="888" spans="1:6" x14ac:dyDescent="0.3">
      <c r="A888">
        <v>2019</v>
      </c>
      <c r="B888" t="s">
        <v>62</v>
      </c>
      <c r="C888" t="s">
        <v>29</v>
      </c>
      <c r="D888" s="2">
        <v>15195</v>
      </c>
      <c r="E888" s="2">
        <v>308646</v>
      </c>
      <c r="F888" s="3">
        <v>21614</v>
      </c>
    </row>
    <row r="889" spans="1:6" x14ac:dyDescent="0.3">
      <c r="A889">
        <v>2019</v>
      </c>
      <c r="B889" t="s">
        <v>62</v>
      </c>
      <c r="C889" t="s">
        <v>30</v>
      </c>
      <c r="D889" s="2">
        <v>5052</v>
      </c>
      <c r="E889" s="2">
        <v>67008</v>
      </c>
      <c r="F889" s="3">
        <v>19955</v>
      </c>
    </row>
    <row r="890" spans="1:6" x14ac:dyDescent="0.3">
      <c r="A890">
        <v>2019</v>
      </c>
      <c r="B890" t="s">
        <v>62</v>
      </c>
      <c r="C890" t="s">
        <v>31</v>
      </c>
      <c r="D890" s="2">
        <v>5609</v>
      </c>
      <c r="E890" s="2">
        <v>93856</v>
      </c>
      <c r="F890" s="3">
        <v>17213</v>
      </c>
    </row>
    <row r="891" spans="1:6" x14ac:dyDescent="0.3">
      <c r="A891">
        <v>2019</v>
      </c>
      <c r="B891" t="s">
        <v>62</v>
      </c>
      <c r="C891" t="s">
        <v>32</v>
      </c>
      <c r="D891" s="2">
        <v>8716</v>
      </c>
      <c r="E891" s="2">
        <v>355178</v>
      </c>
      <c r="F891" s="3">
        <v>34432</v>
      </c>
    </row>
    <row r="892" spans="1:6" x14ac:dyDescent="0.3">
      <c r="A892">
        <v>2019</v>
      </c>
      <c r="B892" t="s">
        <v>62</v>
      </c>
      <c r="C892" t="s">
        <v>33</v>
      </c>
      <c r="D892" s="2">
        <v>4675</v>
      </c>
      <c r="E892" s="2">
        <v>73214</v>
      </c>
      <c r="F892" s="3">
        <v>22783</v>
      </c>
    </row>
    <row r="893" spans="1:6" x14ac:dyDescent="0.3">
      <c r="A893">
        <v>2019</v>
      </c>
      <c r="B893" t="s">
        <v>62</v>
      </c>
      <c r="C893" t="s">
        <v>34</v>
      </c>
      <c r="D893" s="2">
        <v>24526</v>
      </c>
      <c r="E893" s="2">
        <v>391519</v>
      </c>
      <c r="F893" s="3">
        <v>26347</v>
      </c>
    </row>
    <row r="894" spans="1:6" x14ac:dyDescent="0.3">
      <c r="A894">
        <v>2019</v>
      </c>
      <c r="B894" t="s">
        <v>62</v>
      </c>
      <c r="C894" t="s">
        <v>35</v>
      </c>
      <c r="D894" s="2">
        <v>5277</v>
      </c>
      <c r="E894" s="2">
        <v>99656</v>
      </c>
      <c r="F894" s="3">
        <v>19571</v>
      </c>
    </row>
    <row r="895" spans="1:6" x14ac:dyDescent="0.3">
      <c r="A895">
        <v>2019</v>
      </c>
      <c r="B895" t="s">
        <v>62</v>
      </c>
      <c r="C895" t="s">
        <v>36</v>
      </c>
      <c r="D895" s="2">
        <v>65868</v>
      </c>
      <c r="E895" s="2">
        <v>957897</v>
      </c>
      <c r="F895" s="3">
        <v>35828</v>
      </c>
    </row>
    <row r="896" spans="1:6" x14ac:dyDescent="0.3">
      <c r="A896">
        <v>2019</v>
      </c>
      <c r="B896" t="s">
        <v>62</v>
      </c>
      <c r="C896" t="s">
        <v>37</v>
      </c>
      <c r="D896" s="2">
        <v>26474</v>
      </c>
      <c r="E896" s="2">
        <v>515152</v>
      </c>
      <c r="F896" s="3">
        <v>20460</v>
      </c>
    </row>
    <row r="897" spans="1:6" x14ac:dyDescent="0.3">
      <c r="A897">
        <v>2019</v>
      </c>
      <c r="B897" t="s">
        <v>62</v>
      </c>
      <c r="C897" t="s">
        <v>38</v>
      </c>
      <c r="D897" s="2">
        <v>2610</v>
      </c>
      <c r="E897" s="2">
        <v>40423</v>
      </c>
      <c r="F897" s="3">
        <v>18573</v>
      </c>
    </row>
    <row r="898" spans="1:6" x14ac:dyDescent="0.3">
      <c r="A898">
        <v>2019</v>
      </c>
      <c r="B898" t="s">
        <v>62</v>
      </c>
      <c r="C898" t="s">
        <v>39</v>
      </c>
      <c r="D898" s="2">
        <v>29035</v>
      </c>
      <c r="E898" s="2">
        <v>570254</v>
      </c>
      <c r="F898" s="3">
        <v>20197</v>
      </c>
    </row>
    <row r="899" spans="1:6" x14ac:dyDescent="0.3">
      <c r="A899">
        <v>2019</v>
      </c>
      <c r="B899" t="s">
        <v>62</v>
      </c>
      <c r="C899" t="s">
        <v>40</v>
      </c>
      <c r="D899" s="2">
        <v>9209</v>
      </c>
      <c r="E899" s="2">
        <v>174213</v>
      </c>
      <c r="F899" s="3">
        <v>18600</v>
      </c>
    </row>
    <row r="900" spans="1:6" x14ac:dyDescent="0.3">
      <c r="A900">
        <v>2019</v>
      </c>
      <c r="B900" t="s">
        <v>62</v>
      </c>
      <c r="C900" t="s">
        <v>41</v>
      </c>
      <c r="D900" s="2">
        <v>14116</v>
      </c>
      <c r="E900" s="2">
        <v>213454</v>
      </c>
      <c r="F900" s="3">
        <v>23818</v>
      </c>
    </row>
    <row r="901" spans="1:6" x14ac:dyDescent="0.3">
      <c r="A901">
        <v>2019</v>
      </c>
      <c r="B901" t="s">
        <v>62</v>
      </c>
      <c r="C901" t="s">
        <v>42</v>
      </c>
      <c r="D901" s="2">
        <v>33729</v>
      </c>
      <c r="E901" s="2">
        <v>577911</v>
      </c>
      <c r="F901" s="3">
        <v>22011</v>
      </c>
    </row>
    <row r="902" spans="1:6" x14ac:dyDescent="0.3">
      <c r="A902">
        <v>2019</v>
      </c>
      <c r="B902" t="s">
        <v>62</v>
      </c>
      <c r="C902" t="s">
        <v>43</v>
      </c>
      <c r="D902" s="2">
        <v>3873</v>
      </c>
      <c r="E902" s="2">
        <v>60008</v>
      </c>
      <c r="F902" s="3">
        <v>23680</v>
      </c>
    </row>
    <row r="903" spans="1:6" x14ac:dyDescent="0.3">
      <c r="A903">
        <v>2019</v>
      </c>
      <c r="B903" t="s">
        <v>62</v>
      </c>
      <c r="C903" t="s">
        <v>44</v>
      </c>
      <c r="D903" s="2">
        <v>13400</v>
      </c>
      <c r="E903" s="2">
        <v>270473</v>
      </c>
      <c r="F903" s="3">
        <v>18816</v>
      </c>
    </row>
    <row r="904" spans="1:6" x14ac:dyDescent="0.3">
      <c r="A904">
        <v>2019</v>
      </c>
      <c r="B904" t="s">
        <v>62</v>
      </c>
      <c r="C904" t="s">
        <v>45</v>
      </c>
      <c r="D904" s="2">
        <v>3191</v>
      </c>
      <c r="E904" s="2">
        <v>47413</v>
      </c>
      <c r="F904" s="3">
        <v>17519</v>
      </c>
    </row>
    <row r="905" spans="1:6" x14ac:dyDescent="0.3">
      <c r="A905">
        <v>2019</v>
      </c>
      <c r="B905" t="s">
        <v>62</v>
      </c>
      <c r="C905" t="s">
        <v>46</v>
      </c>
      <c r="D905" s="2">
        <v>16924</v>
      </c>
      <c r="E905" s="2">
        <v>347181</v>
      </c>
      <c r="F905" s="3">
        <v>23878</v>
      </c>
    </row>
    <row r="906" spans="1:6" x14ac:dyDescent="0.3">
      <c r="A906">
        <v>2019</v>
      </c>
      <c r="B906" t="s">
        <v>62</v>
      </c>
      <c r="C906" t="s">
        <v>47</v>
      </c>
      <c r="D906" s="2">
        <v>65057</v>
      </c>
      <c r="E906" s="2">
        <v>1394036</v>
      </c>
      <c r="F906" s="3">
        <v>22762</v>
      </c>
    </row>
    <row r="907" spans="1:6" x14ac:dyDescent="0.3">
      <c r="A907">
        <v>2019</v>
      </c>
      <c r="B907" t="s">
        <v>62</v>
      </c>
      <c r="C907" t="s">
        <v>48</v>
      </c>
      <c r="D907" s="2">
        <v>7570</v>
      </c>
      <c r="E907" s="2">
        <v>153412</v>
      </c>
      <c r="F907" s="3">
        <v>20955</v>
      </c>
    </row>
    <row r="908" spans="1:6" x14ac:dyDescent="0.3">
      <c r="A908">
        <v>2019</v>
      </c>
      <c r="B908" t="s">
        <v>62</v>
      </c>
      <c r="C908" t="s">
        <v>49</v>
      </c>
      <c r="D908" s="2">
        <v>2268</v>
      </c>
      <c r="E908" s="2">
        <v>37208</v>
      </c>
      <c r="F908" s="3">
        <v>23863</v>
      </c>
    </row>
    <row r="909" spans="1:6" x14ac:dyDescent="0.3">
      <c r="A909">
        <v>2019</v>
      </c>
      <c r="B909" t="s">
        <v>62</v>
      </c>
      <c r="C909" t="s">
        <v>50</v>
      </c>
      <c r="D909" s="2">
        <v>20743</v>
      </c>
      <c r="E909" s="2">
        <v>408354</v>
      </c>
      <c r="F909" s="3">
        <v>21582</v>
      </c>
    </row>
    <row r="910" spans="1:6" x14ac:dyDescent="0.3">
      <c r="A910">
        <v>2019</v>
      </c>
      <c r="B910" t="s">
        <v>62</v>
      </c>
      <c r="C910" t="s">
        <v>51</v>
      </c>
      <c r="D910" s="2">
        <v>20637</v>
      </c>
      <c r="E910" s="2">
        <v>341265</v>
      </c>
      <c r="F910" s="3">
        <v>26566</v>
      </c>
    </row>
    <row r="911" spans="1:6" x14ac:dyDescent="0.3">
      <c r="A911">
        <v>2019</v>
      </c>
      <c r="B911" t="s">
        <v>62</v>
      </c>
      <c r="C911" t="s">
        <v>52</v>
      </c>
      <c r="D911" s="2">
        <v>4658</v>
      </c>
      <c r="E911" s="2">
        <v>75027</v>
      </c>
      <c r="F911" s="3">
        <v>18256</v>
      </c>
    </row>
    <row r="912" spans="1:6" x14ac:dyDescent="0.3">
      <c r="A912">
        <v>2019</v>
      </c>
      <c r="B912" t="s">
        <v>62</v>
      </c>
      <c r="C912" t="s">
        <v>53</v>
      </c>
      <c r="D912" s="2">
        <v>17015</v>
      </c>
      <c r="E912" s="2">
        <v>285279</v>
      </c>
      <c r="F912" s="3">
        <v>18758</v>
      </c>
    </row>
    <row r="913" spans="1:6" x14ac:dyDescent="0.3">
      <c r="A913">
        <v>2019</v>
      </c>
      <c r="B913" t="s">
        <v>62</v>
      </c>
      <c r="C913" t="s">
        <v>54</v>
      </c>
      <c r="D913" s="2">
        <v>2398</v>
      </c>
      <c r="E913" s="2">
        <v>37041</v>
      </c>
      <c r="F913" s="3">
        <v>21994</v>
      </c>
    </row>
    <row r="914" spans="1:6" x14ac:dyDescent="0.3">
      <c r="A914">
        <v>2019</v>
      </c>
      <c r="B914" t="s">
        <v>63</v>
      </c>
      <c r="C914" t="s">
        <v>7</v>
      </c>
      <c r="D914" s="2">
        <v>10189</v>
      </c>
      <c r="E914" s="2">
        <v>46816</v>
      </c>
      <c r="F914" s="3">
        <v>38607</v>
      </c>
    </row>
    <row r="915" spans="1:6" x14ac:dyDescent="0.3">
      <c r="A915">
        <v>2019</v>
      </c>
      <c r="B915" t="s">
        <v>63</v>
      </c>
      <c r="C915" t="s">
        <v>8</v>
      </c>
      <c r="D915" s="2">
        <v>10674</v>
      </c>
      <c r="E915" s="2">
        <v>75782</v>
      </c>
      <c r="F915" s="3">
        <v>39965</v>
      </c>
    </row>
    <row r="916" spans="1:6" x14ac:dyDescent="0.3">
      <c r="A916">
        <v>2019</v>
      </c>
      <c r="B916" t="s">
        <v>63</v>
      </c>
      <c r="C916" t="s">
        <v>9</v>
      </c>
      <c r="D916" s="2">
        <v>5359</v>
      </c>
      <c r="E916" s="2">
        <v>25279</v>
      </c>
      <c r="F916" s="3">
        <v>36115</v>
      </c>
    </row>
    <row r="917" spans="1:6" x14ac:dyDescent="0.3">
      <c r="A917">
        <v>2019</v>
      </c>
      <c r="B917" t="s">
        <v>63</v>
      </c>
      <c r="C917" t="s">
        <v>10</v>
      </c>
      <c r="D917" s="2">
        <v>97442</v>
      </c>
      <c r="E917" s="2">
        <v>547972</v>
      </c>
      <c r="F917" s="3">
        <v>42293</v>
      </c>
    </row>
    <row r="918" spans="1:6" x14ac:dyDescent="0.3">
      <c r="A918">
        <v>2019</v>
      </c>
      <c r="B918" t="s">
        <v>63</v>
      </c>
      <c r="C918" t="s">
        <v>11</v>
      </c>
      <c r="D918" s="2">
        <v>17008</v>
      </c>
      <c r="E918" s="2">
        <v>84571</v>
      </c>
      <c r="F918" s="3">
        <v>42381</v>
      </c>
    </row>
    <row r="919" spans="1:6" x14ac:dyDescent="0.3">
      <c r="A919">
        <v>2019</v>
      </c>
      <c r="B919" t="s">
        <v>63</v>
      </c>
      <c r="C919" t="s">
        <v>12</v>
      </c>
      <c r="D919" s="2">
        <v>18146</v>
      </c>
      <c r="E919" s="2">
        <v>66497</v>
      </c>
      <c r="F919" s="3">
        <v>34861</v>
      </c>
    </row>
    <row r="920" spans="1:6" x14ac:dyDescent="0.3">
      <c r="A920">
        <v>2019</v>
      </c>
      <c r="B920" t="s">
        <v>63</v>
      </c>
      <c r="C920" t="s">
        <v>13</v>
      </c>
      <c r="D920" s="2">
        <v>2052</v>
      </c>
      <c r="E920" s="2">
        <v>12125</v>
      </c>
      <c r="F920" s="3">
        <v>35636</v>
      </c>
    </row>
    <row r="921" spans="1:6" x14ac:dyDescent="0.3">
      <c r="A921">
        <v>2019</v>
      </c>
      <c r="B921" t="s">
        <v>63</v>
      </c>
      <c r="C921" t="s">
        <v>14</v>
      </c>
      <c r="D921" s="2">
        <v>56765</v>
      </c>
      <c r="E921" s="2">
        <v>281975</v>
      </c>
      <c r="F921" s="3">
        <v>37969</v>
      </c>
    </row>
    <row r="922" spans="1:6" x14ac:dyDescent="0.3">
      <c r="A922">
        <v>2019</v>
      </c>
      <c r="B922" t="s">
        <v>63</v>
      </c>
      <c r="C922" t="s">
        <v>15</v>
      </c>
      <c r="D922" s="2">
        <v>18227</v>
      </c>
      <c r="E922" s="2">
        <v>111902</v>
      </c>
      <c r="F922" s="3">
        <v>37971</v>
      </c>
    </row>
    <row r="923" spans="1:6" x14ac:dyDescent="0.3">
      <c r="A923">
        <v>2019</v>
      </c>
      <c r="B923" t="s">
        <v>63</v>
      </c>
      <c r="C923" t="s">
        <v>16</v>
      </c>
      <c r="D923" s="2">
        <v>3845</v>
      </c>
      <c r="E923" s="2">
        <v>19414</v>
      </c>
      <c r="F923" s="3">
        <v>32615</v>
      </c>
    </row>
    <row r="924" spans="1:6" x14ac:dyDescent="0.3">
      <c r="A924">
        <v>2019</v>
      </c>
      <c r="B924" t="s">
        <v>63</v>
      </c>
      <c r="C924" t="s">
        <v>17</v>
      </c>
      <c r="D924" s="2">
        <v>39884</v>
      </c>
      <c r="E924" s="2">
        <v>209967</v>
      </c>
      <c r="F924" s="3">
        <v>43714</v>
      </c>
    </row>
    <row r="925" spans="1:6" x14ac:dyDescent="0.3">
      <c r="A925">
        <v>2019</v>
      </c>
      <c r="B925" t="s">
        <v>63</v>
      </c>
      <c r="C925" t="s">
        <v>18</v>
      </c>
      <c r="D925" s="2">
        <v>12916</v>
      </c>
      <c r="E925" s="2">
        <v>89273</v>
      </c>
      <c r="F925" s="3">
        <v>33759</v>
      </c>
    </row>
    <row r="926" spans="1:6" x14ac:dyDescent="0.3">
      <c r="A926">
        <v>2019</v>
      </c>
      <c r="B926" t="s">
        <v>63</v>
      </c>
      <c r="C926" t="s">
        <v>19</v>
      </c>
      <c r="D926" s="2">
        <v>8547</v>
      </c>
      <c r="E926" s="2">
        <v>42519</v>
      </c>
      <c r="F926" s="3">
        <v>36534</v>
      </c>
    </row>
    <row r="927" spans="1:6" x14ac:dyDescent="0.3">
      <c r="A927">
        <v>2019</v>
      </c>
      <c r="B927" t="s">
        <v>63</v>
      </c>
      <c r="C927" t="s">
        <v>20</v>
      </c>
      <c r="D927" s="2">
        <v>5938</v>
      </c>
      <c r="E927" s="2">
        <v>34833</v>
      </c>
      <c r="F927" s="3">
        <v>35624</v>
      </c>
    </row>
    <row r="928" spans="1:6" x14ac:dyDescent="0.3">
      <c r="A928">
        <v>2019</v>
      </c>
      <c r="B928" t="s">
        <v>63</v>
      </c>
      <c r="C928" t="s">
        <v>21</v>
      </c>
      <c r="D928" s="2">
        <v>10404</v>
      </c>
      <c r="E928" s="2">
        <v>46571</v>
      </c>
      <c r="F928" s="3">
        <v>34846</v>
      </c>
    </row>
    <row r="929" spans="1:6" x14ac:dyDescent="0.3">
      <c r="A929">
        <v>2019</v>
      </c>
      <c r="B929" t="s">
        <v>63</v>
      </c>
      <c r="C929" t="s">
        <v>22</v>
      </c>
      <c r="D929" s="2">
        <v>9280</v>
      </c>
      <c r="E929" s="2">
        <v>46391</v>
      </c>
      <c r="F929" s="3">
        <v>38963</v>
      </c>
    </row>
    <row r="930" spans="1:6" x14ac:dyDescent="0.3">
      <c r="A930">
        <v>2019</v>
      </c>
      <c r="B930" t="s">
        <v>63</v>
      </c>
      <c r="C930" t="s">
        <v>23</v>
      </c>
      <c r="D930" s="2">
        <v>3777</v>
      </c>
      <c r="E930" s="2">
        <v>17863</v>
      </c>
      <c r="F930" s="3">
        <v>35322</v>
      </c>
    </row>
    <row r="931" spans="1:6" x14ac:dyDescent="0.3">
      <c r="A931">
        <v>2019</v>
      </c>
      <c r="B931" t="s">
        <v>63</v>
      </c>
      <c r="C931" t="s">
        <v>24</v>
      </c>
      <c r="D931" s="2">
        <v>19358</v>
      </c>
      <c r="E931" s="2">
        <v>91545</v>
      </c>
      <c r="F931" s="3">
        <v>44150</v>
      </c>
    </row>
    <row r="932" spans="1:6" x14ac:dyDescent="0.3">
      <c r="A932">
        <v>2019</v>
      </c>
      <c r="B932" t="s">
        <v>63</v>
      </c>
      <c r="C932" t="s">
        <v>25</v>
      </c>
      <c r="D932" s="2">
        <v>22046</v>
      </c>
      <c r="E932" s="2">
        <v>121404</v>
      </c>
      <c r="F932" s="3">
        <v>40421</v>
      </c>
    </row>
    <row r="933" spans="1:6" x14ac:dyDescent="0.3">
      <c r="A933">
        <v>2019</v>
      </c>
      <c r="B933" t="s">
        <v>63</v>
      </c>
      <c r="C933" t="s">
        <v>26</v>
      </c>
      <c r="D933" s="2">
        <v>32480</v>
      </c>
      <c r="E933" s="2">
        <v>140352</v>
      </c>
      <c r="F933" s="3">
        <v>34330</v>
      </c>
    </row>
    <row r="934" spans="1:6" x14ac:dyDescent="0.3">
      <c r="A934">
        <v>2019</v>
      </c>
      <c r="B934" t="s">
        <v>63</v>
      </c>
      <c r="C934" t="s">
        <v>27</v>
      </c>
      <c r="D934" s="2">
        <v>17266</v>
      </c>
      <c r="E934" s="2">
        <v>91238</v>
      </c>
      <c r="F934" s="3">
        <v>35478</v>
      </c>
    </row>
    <row r="935" spans="1:6" x14ac:dyDescent="0.3">
      <c r="A935">
        <v>2019</v>
      </c>
      <c r="B935" t="s">
        <v>63</v>
      </c>
      <c r="C935" t="s">
        <v>28</v>
      </c>
      <c r="D935" s="2">
        <v>4589</v>
      </c>
      <c r="E935" s="2">
        <v>21043</v>
      </c>
      <c r="F935" s="3">
        <v>36243</v>
      </c>
    </row>
    <row r="936" spans="1:6" x14ac:dyDescent="0.3">
      <c r="A936">
        <v>2019</v>
      </c>
      <c r="B936" t="s">
        <v>63</v>
      </c>
      <c r="C936" t="s">
        <v>29</v>
      </c>
      <c r="D936" s="2">
        <v>13240</v>
      </c>
      <c r="E936" s="2">
        <v>75829</v>
      </c>
      <c r="F936" s="3">
        <v>35224</v>
      </c>
    </row>
    <row r="937" spans="1:6" x14ac:dyDescent="0.3">
      <c r="A937">
        <v>2019</v>
      </c>
      <c r="B937" t="s">
        <v>63</v>
      </c>
      <c r="C937" t="s">
        <v>30</v>
      </c>
      <c r="D937" s="2">
        <v>4153</v>
      </c>
      <c r="E937" s="2">
        <v>18442</v>
      </c>
      <c r="F937" s="3">
        <v>31791</v>
      </c>
    </row>
    <row r="938" spans="1:6" x14ac:dyDescent="0.3">
      <c r="A938">
        <v>2019</v>
      </c>
      <c r="B938" t="s">
        <v>63</v>
      </c>
      <c r="C938" t="s">
        <v>31</v>
      </c>
      <c r="D938" s="2">
        <v>4572</v>
      </c>
      <c r="E938" s="2">
        <v>25509</v>
      </c>
      <c r="F938" s="3">
        <v>33587</v>
      </c>
    </row>
    <row r="939" spans="1:6" x14ac:dyDescent="0.3">
      <c r="A939">
        <v>2019</v>
      </c>
      <c r="B939" t="s">
        <v>63</v>
      </c>
      <c r="C939" t="s">
        <v>32</v>
      </c>
      <c r="D939" s="2">
        <v>5140</v>
      </c>
      <c r="E939" s="2">
        <v>35449</v>
      </c>
      <c r="F939" s="3">
        <v>38479</v>
      </c>
    </row>
    <row r="940" spans="1:6" x14ac:dyDescent="0.3">
      <c r="A940">
        <v>2019</v>
      </c>
      <c r="B940" t="s">
        <v>63</v>
      </c>
      <c r="C940" t="s">
        <v>33</v>
      </c>
      <c r="D940" s="2">
        <v>4011</v>
      </c>
      <c r="E940" s="2">
        <v>21600</v>
      </c>
      <c r="F940" s="3">
        <v>39236</v>
      </c>
    </row>
    <row r="941" spans="1:6" x14ac:dyDescent="0.3">
      <c r="A941">
        <v>2019</v>
      </c>
      <c r="B941" t="s">
        <v>63</v>
      </c>
      <c r="C941" t="s">
        <v>34</v>
      </c>
      <c r="D941" s="2">
        <v>24469</v>
      </c>
      <c r="E941" s="2">
        <v>138255</v>
      </c>
      <c r="F941" s="3">
        <v>37373</v>
      </c>
    </row>
    <row r="942" spans="1:6" x14ac:dyDescent="0.3">
      <c r="A942">
        <v>2019</v>
      </c>
      <c r="B942" t="s">
        <v>63</v>
      </c>
      <c r="C942" t="s">
        <v>35</v>
      </c>
      <c r="D942" s="2">
        <v>4216</v>
      </c>
      <c r="E942" s="2">
        <v>21214</v>
      </c>
      <c r="F942" s="3">
        <v>35417</v>
      </c>
    </row>
    <row r="943" spans="1:6" x14ac:dyDescent="0.3">
      <c r="A943">
        <v>2019</v>
      </c>
      <c r="B943" t="s">
        <v>63</v>
      </c>
      <c r="C943" t="s">
        <v>36</v>
      </c>
      <c r="D943" s="2">
        <v>72430</v>
      </c>
      <c r="E943" s="2">
        <v>371218</v>
      </c>
      <c r="F943" s="3">
        <v>43410</v>
      </c>
    </row>
    <row r="944" spans="1:6" x14ac:dyDescent="0.3">
      <c r="A944">
        <v>2019</v>
      </c>
      <c r="B944" t="s">
        <v>63</v>
      </c>
      <c r="C944" t="s">
        <v>37</v>
      </c>
      <c r="D944" s="2">
        <v>24457</v>
      </c>
      <c r="E944" s="2">
        <v>115119</v>
      </c>
      <c r="F944" s="3">
        <v>36624</v>
      </c>
    </row>
    <row r="945" spans="1:6" x14ac:dyDescent="0.3">
      <c r="A945">
        <v>2019</v>
      </c>
      <c r="B945" t="s">
        <v>63</v>
      </c>
      <c r="C945" t="s">
        <v>38</v>
      </c>
      <c r="D945" s="2">
        <v>2047</v>
      </c>
      <c r="E945" s="2">
        <v>11337</v>
      </c>
      <c r="F945" s="3">
        <v>38696</v>
      </c>
    </row>
    <row r="946" spans="1:6" x14ac:dyDescent="0.3">
      <c r="A946">
        <v>2019</v>
      </c>
      <c r="B946" t="s">
        <v>63</v>
      </c>
      <c r="C946" t="s">
        <v>39</v>
      </c>
      <c r="D946" s="2">
        <v>23639</v>
      </c>
      <c r="E946" s="2">
        <v>157001</v>
      </c>
      <c r="F946" s="3">
        <v>35006</v>
      </c>
    </row>
    <row r="947" spans="1:6" x14ac:dyDescent="0.3">
      <c r="A947">
        <v>2019</v>
      </c>
      <c r="B947" t="s">
        <v>63</v>
      </c>
      <c r="C947" t="s">
        <v>40</v>
      </c>
      <c r="D947" s="2">
        <v>6589</v>
      </c>
      <c r="E947" s="2">
        <v>36706</v>
      </c>
      <c r="F947" s="3">
        <v>36151</v>
      </c>
    </row>
    <row r="948" spans="1:6" x14ac:dyDescent="0.3">
      <c r="A948">
        <v>2019</v>
      </c>
      <c r="B948" t="s">
        <v>63</v>
      </c>
      <c r="C948" t="s">
        <v>41</v>
      </c>
      <c r="D948" s="2">
        <v>25468</v>
      </c>
      <c r="E948" s="2">
        <v>78423</v>
      </c>
      <c r="F948" s="3">
        <v>35467</v>
      </c>
    </row>
    <row r="949" spans="1:6" x14ac:dyDescent="0.3">
      <c r="A949">
        <v>2019</v>
      </c>
      <c r="B949" t="s">
        <v>63</v>
      </c>
      <c r="C949" t="s">
        <v>42</v>
      </c>
      <c r="D949" s="2">
        <v>33082</v>
      </c>
      <c r="E949" s="2">
        <v>202171</v>
      </c>
      <c r="F949" s="3">
        <v>35131</v>
      </c>
    </row>
    <row r="950" spans="1:6" x14ac:dyDescent="0.3">
      <c r="A950">
        <v>2019</v>
      </c>
      <c r="B950" t="s">
        <v>63</v>
      </c>
      <c r="C950" t="s">
        <v>43</v>
      </c>
      <c r="D950" s="2">
        <v>3537</v>
      </c>
      <c r="E950" s="2">
        <v>18157</v>
      </c>
      <c r="F950" s="3">
        <v>34466</v>
      </c>
    </row>
    <row r="951" spans="1:6" x14ac:dyDescent="0.3">
      <c r="A951">
        <v>2019</v>
      </c>
      <c r="B951" t="s">
        <v>63</v>
      </c>
      <c r="C951" t="s">
        <v>44</v>
      </c>
      <c r="D951" s="2">
        <v>12142</v>
      </c>
      <c r="E951" s="2">
        <v>54906</v>
      </c>
      <c r="F951" s="3">
        <v>34386</v>
      </c>
    </row>
    <row r="952" spans="1:6" x14ac:dyDescent="0.3">
      <c r="A952">
        <v>2019</v>
      </c>
      <c r="B952" t="s">
        <v>63</v>
      </c>
      <c r="C952" t="s">
        <v>45</v>
      </c>
      <c r="D952" s="2">
        <v>2223</v>
      </c>
      <c r="E952" s="2">
        <v>11326</v>
      </c>
      <c r="F952" s="3">
        <v>34233</v>
      </c>
    </row>
    <row r="953" spans="1:6" x14ac:dyDescent="0.3">
      <c r="A953">
        <v>2019</v>
      </c>
      <c r="B953" t="s">
        <v>63</v>
      </c>
      <c r="C953" t="s">
        <v>46</v>
      </c>
      <c r="D953" s="2">
        <v>15931</v>
      </c>
      <c r="E953" s="2">
        <v>80484</v>
      </c>
      <c r="F953" s="3">
        <v>36227</v>
      </c>
    </row>
    <row r="954" spans="1:6" x14ac:dyDescent="0.3">
      <c r="A954">
        <v>2019</v>
      </c>
      <c r="B954" t="s">
        <v>63</v>
      </c>
      <c r="C954" t="s">
        <v>47</v>
      </c>
      <c r="D954" s="2">
        <v>57504</v>
      </c>
      <c r="E954" s="2">
        <v>343287</v>
      </c>
      <c r="F954" s="3">
        <v>41110</v>
      </c>
    </row>
    <row r="955" spans="1:6" x14ac:dyDescent="0.3">
      <c r="A955">
        <v>2019</v>
      </c>
      <c r="B955" t="s">
        <v>63</v>
      </c>
      <c r="C955" t="s">
        <v>48</v>
      </c>
      <c r="D955" s="2">
        <v>6492</v>
      </c>
      <c r="E955" s="2">
        <v>37200</v>
      </c>
      <c r="F955" s="3">
        <v>37389</v>
      </c>
    </row>
    <row r="956" spans="1:6" x14ac:dyDescent="0.3">
      <c r="A956">
        <v>2019</v>
      </c>
      <c r="B956" t="s">
        <v>63</v>
      </c>
      <c r="C956" t="s">
        <v>49</v>
      </c>
      <c r="D956" s="2">
        <v>1990</v>
      </c>
      <c r="E956" s="2">
        <v>8772</v>
      </c>
      <c r="F956" s="3">
        <v>37394</v>
      </c>
    </row>
    <row r="957" spans="1:6" x14ac:dyDescent="0.3">
      <c r="A957">
        <v>2019</v>
      </c>
      <c r="B957" t="s">
        <v>63</v>
      </c>
      <c r="C957" t="s">
        <v>50</v>
      </c>
      <c r="D957" s="2">
        <v>29777</v>
      </c>
      <c r="E957" s="2">
        <v>140456</v>
      </c>
      <c r="F957" s="3">
        <v>45136</v>
      </c>
    </row>
    <row r="958" spans="1:6" x14ac:dyDescent="0.3">
      <c r="A958">
        <v>2019</v>
      </c>
      <c r="B958" t="s">
        <v>63</v>
      </c>
      <c r="C958" t="s">
        <v>51</v>
      </c>
      <c r="D958" s="2">
        <v>19915</v>
      </c>
      <c r="E958" s="2">
        <v>102632</v>
      </c>
      <c r="F958" s="3">
        <v>42585</v>
      </c>
    </row>
    <row r="959" spans="1:6" x14ac:dyDescent="0.3">
      <c r="A959">
        <v>2019</v>
      </c>
      <c r="B959" t="s">
        <v>63</v>
      </c>
      <c r="C959" t="s">
        <v>52</v>
      </c>
      <c r="D959" s="2">
        <v>5797</v>
      </c>
      <c r="E959" s="2">
        <v>20164</v>
      </c>
      <c r="F959" s="3">
        <v>32080</v>
      </c>
    </row>
    <row r="960" spans="1:6" x14ac:dyDescent="0.3">
      <c r="A960">
        <v>2019</v>
      </c>
      <c r="B960" t="s">
        <v>63</v>
      </c>
      <c r="C960" t="s">
        <v>53</v>
      </c>
      <c r="D960" s="2">
        <v>13757</v>
      </c>
      <c r="E960" s="2">
        <v>84267</v>
      </c>
      <c r="F960" s="3">
        <v>31908</v>
      </c>
    </row>
    <row r="961" spans="1:6" x14ac:dyDescent="0.3">
      <c r="A961">
        <v>2019</v>
      </c>
      <c r="B961" t="s">
        <v>63</v>
      </c>
      <c r="C961" t="s">
        <v>54</v>
      </c>
      <c r="D961" s="2">
        <v>1655</v>
      </c>
      <c r="E961" s="2">
        <v>7188</v>
      </c>
      <c r="F961" s="3">
        <v>39255</v>
      </c>
    </row>
    <row r="962" spans="1:6" x14ac:dyDescent="0.3">
      <c r="A962">
        <v>2018</v>
      </c>
      <c r="B962" t="s">
        <v>6</v>
      </c>
      <c r="C962" t="s">
        <v>7</v>
      </c>
      <c r="D962" s="2">
        <v>1843</v>
      </c>
      <c r="E962" s="2">
        <v>18397</v>
      </c>
      <c r="F962" s="3">
        <v>56388</v>
      </c>
    </row>
    <row r="963" spans="1:6" x14ac:dyDescent="0.3">
      <c r="A963">
        <v>2018</v>
      </c>
      <c r="B963" t="s">
        <v>6</v>
      </c>
      <c r="C963" t="s">
        <v>8</v>
      </c>
      <c r="D963" s="2">
        <v>1328</v>
      </c>
      <c r="E963" s="2">
        <v>38653</v>
      </c>
      <c r="F963" s="3">
        <v>50854</v>
      </c>
    </row>
    <row r="964" spans="1:6" x14ac:dyDescent="0.3">
      <c r="A964">
        <v>2018</v>
      </c>
      <c r="B964" t="s">
        <v>6</v>
      </c>
      <c r="C964" t="s">
        <v>9</v>
      </c>
      <c r="D964" s="2">
        <v>2525</v>
      </c>
      <c r="E964" s="2">
        <v>16334</v>
      </c>
      <c r="F964" s="3">
        <v>47616</v>
      </c>
    </row>
    <row r="965" spans="1:6" x14ac:dyDescent="0.3">
      <c r="A965">
        <v>2018</v>
      </c>
      <c r="B965" t="s">
        <v>6</v>
      </c>
      <c r="C965" t="s">
        <v>10</v>
      </c>
      <c r="D965" s="2">
        <v>17605</v>
      </c>
      <c r="E965" s="2">
        <v>443542</v>
      </c>
      <c r="F965" s="3">
        <v>38595</v>
      </c>
    </row>
    <row r="966" spans="1:6" x14ac:dyDescent="0.3">
      <c r="A966">
        <v>2018</v>
      </c>
      <c r="B966" t="s">
        <v>6</v>
      </c>
      <c r="C966" t="s">
        <v>11</v>
      </c>
      <c r="D966" s="2">
        <v>3256</v>
      </c>
      <c r="E966" s="2">
        <v>46357</v>
      </c>
      <c r="F966" s="3">
        <v>88489</v>
      </c>
    </row>
    <row r="967" spans="1:6" x14ac:dyDescent="0.3">
      <c r="A967">
        <v>2018</v>
      </c>
      <c r="B967" t="s">
        <v>6</v>
      </c>
      <c r="C967" t="s">
        <v>12</v>
      </c>
      <c r="D967">
        <v>441</v>
      </c>
      <c r="E967" s="2">
        <v>5272</v>
      </c>
      <c r="F967" s="3">
        <v>40054</v>
      </c>
    </row>
    <row r="968" spans="1:6" x14ac:dyDescent="0.3">
      <c r="A968">
        <v>2018</v>
      </c>
      <c r="B968" t="s">
        <v>6</v>
      </c>
      <c r="C968" t="s">
        <v>13</v>
      </c>
      <c r="D968">
        <v>177</v>
      </c>
      <c r="E968" s="2">
        <v>1535</v>
      </c>
      <c r="F968" s="3">
        <v>39987</v>
      </c>
    </row>
    <row r="969" spans="1:6" x14ac:dyDescent="0.3">
      <c r="A969">
        <v>2018</v>
      </c>
      <c r="B969" t="s">
        <v>6</v>
      </c>
      <c r="C969" t="s">
        <v>14</v>
      </c>
      <c r="D969" s="2">
        <v>5289</v>
      </c>
      <c r="E969" s="2">
        <v>72507</v>
      </c>
      <c r="F969" s="3">
        <v>34681</v>
      </c>
    </row>
    <row r="970" spans="1:6" x14ac:dyDescent="0.3">
      <c r="A970">
        <v>2018</v>
      </c>
      <c r="B970" t="s">
        <v>6</v>
      </c>
      <c r="C970" t="s">
        <v>15</v>
      </c>
      <c r="D970" s="2">
        <v>2630</v>
      </c>
      <c r="E970" s="2">
        <v>29395</v>
      </c>
      <c r="F970" s="3">
        <v>42010</v>
      </c>
    </row>
    <row r="971" spans="1:6" x14ac:dyDescent="0.3">
      <c r="A971">
        <v>2018</v>
      </c>
      <c r="B971" t="s">
        <v>6</v>
      </c>
      <c r="C971" t="s">
        <v>16</v>
      </c>
      <c r="D971" s="2">
        <v>2500</v>
      </c>
      <c r="E971" s="2">
        <v>26636</v>
      </c>
      <c r="F971" s="3">
        <v>39998</v>
      </c>
    </row>
    <row r="972" spans="1:6" x14ac:dyDescent="0.3">
      <c r="A972">
        <v>2018</v>
      </c>
      <c r="B972" t="s">
        <v>6</v>
      </c>
      <c r="C972" t="s">
        <v>17</v>
      </c>
      <c r="D972" s="2">
        <v>2785</v>
      </c>
      <c r="E972" s="2">
        <v>26452</v>
      </c>
      <c r="F972" s="3">
        <v>50101</v>
      </c>
    </row>
    <row r="973" spans="1:6" x14ac:dyDescent="0.3">
      <c r="A973">
        <v>2018</v>
      </c>
      <c r="B973" t="s">
        <v>6</v>
      </c>
      <c r="C973" t="s">
        <v>18</v>
      </c>
      <c r="D973" s="2">
        <v>2217</v>
      </c>
      <c r="E973" s="2">
        <v>21236</v>
      </c>
      <c r="F973" s="3">
        <v>48605</v>
      </c>
    </row>
    <row r="974" spans="1:6" x14ac:dyDescent="0.3">
      <c r="A974">
        <v>2018</v>
      </c>
      <c r="B974" t="s">
        <v>6</v>
      </c>
      <c r="C974" t="s">
        <v>19</v>
      </c>
      <c r="D974" s="2">
        <v>2830</v>
      </c>
      <c r="E974" s="2">
        <v>23077</v>
      </c>
      <c r="F974" s="3">
        <v>42989</v>
      </c>
    </row>
    <row r="975" spans="1:6" x14ac:dyDescent="0.3">
      <c r="A975">
        <v>2018</v>
      </c>
      <c r="B975" t="s">
        <v>6</v>
      </c>
      <c r="C975" t="s">
        <v>20</v>
      </c>
      <c r="D975" s="2">
        <v>2658</v>
      </c>
      <c r="E975" s="2">
        <v>19284</v>
      </c>
      <c r="F975" s="3">
        <v>47004</v>
      </c>
    </row>
    <row r="976" spans="1:6" x14ac:dyDescent="0.3">
      <c r="A976">
        <v>2018</v>
      </c>
      <c r="B976" t="s">
        <v>6</v>
      </c>
      <c r="C976" t="s">
        <v>21</v>
      </c>
      <c r="D976" s="2">
        <v>1559</v>
      </c>
      <c r="E976" s="2">
        <v>18569</v>
      </c>
      <c r="F976" s="3">
        <v>56223</v>
      </c>
    </row>
    <row r="977" spans="1:6" x14ac:dyDescent="0.3">
      <c r="A977">
        <v>2018</v>
      </c>
      <c r="B977" t="s">
        <v>6</v>
      </c>
      <c r="C977" t="s">
        <v>22</v>
      </c>
      <c r="D977" s="2">
        <v>3089</v>
      </c>
      <c r="E977" s="2">
        <v>43598</v>
      </c>
      <c r="F977" s="3">
        <v>84277</v>
      </c>
    </row>
    <row r="978" spans="1:6" x14ac:dyDescent="0.3">
      <c r="A978">
        <v>2018</v>
      </c>
      <c r="B978" t="s">
        <v>6</v>
      </c>
      <c r="C978" t="s">
        <v>23</v>
      </c>
      <c r="D978" s="2">
        <v>1372</v>
      </c>
      <c r="E978" s="2">
        <v>7143</v>
      </c>
      <c r="F978" s="3">
        <v>41187</v>
      </c>
    </row>
    <row r="979" spans="1:6" x14ac:dyDescent="0.3">
      <c r="A979">
        <v>2018</v>
      </c>
      <c r="B979" t="s">
        <v>6</v>
      </c>
      <c r="C979" t="s">
        <v>24</v>
      </c>
      <c r="D979">
        <v>723</v>
      </c>
      <c r="E979" s="2">
        <v>6447</v>
      </c>
      <c r="F979" s="3">
        <v>43100</v>
      </c>
    </row>
    <row r="980" spans="1:6" x14ac:dyDescent="0.3">
      <c r="A980">
        <v>2018</v>
      </c>
      <c r="B980" t="s">
        <v>6</v>
      </c>
      <c r="C980" t="s">
        <v>25</v>
      </c>
      <c r="D980">
        <v>985</v>
      </c>
      <c r="E980" s="2">
        <v>9626</v>
      </c>
      <c r="F980" s="3">
        <v>61244</v>
      </c>
    </row>
    <row r="981" spans="1:6" x14ac:dyDescent="0.3">
      <c r="A981">
        <v>2018</v>
      </c>
      <c r="B981" t="s">
        <v>6</v>
      </c>
      <c r="C981" t="s">
        <v>26</v>
      </c>
      <c r="D981" s="2">
        <v>3282</v>
      </c>
      <c r="E981" s="2">
        <v>35874</v>
      </c>
      <c r="F981" s="3">
        <v>40516</v>
      </c>
    </row>
    <row r="982" spans="1:6" x14ac:dyDescent="0.3">
      <c r="A982">
        <v>2018</v>
      </c>
      <c r="B982" t="s">
        <v>6</v>
      </c>
      <c r="C982" t="s">
        <v>27</v>
      </c>
      <c r="D982" s="2">
        <v>3071</v>
      </c>
      <c r="E982" s="2">
        <v>27642</v>
      </c>
      <c r="F982" s="3">
        <v>50521</v>
      </c>
    </row>
    <row r="983" spans="1:6" x14ac:dyDescent="0.3">
      <c r="A983">
        <v>2018</v>
      </c>
      <c r="B983" t="s">
        <v>6</v>
      </c>
      <c r="C983" t="s">
        <v>28</v>
      </c>
      <c r="D983" s="2">
        <v>2153</v>
      </c>
      <c r="E983" s="2">
        <v>16234</v>
      </c>
      <c r="F983" s="3">
        <v>47028</v>
      </c>
    </row>
    <row r="984" spans="1:6" x14ac:dyDescent="0.3">
      <c r="A984">
        <v>2018</v>
      </c>
      <c r="B984" t="s">
        <v>6</v>
      </c>
      <c r="C984" t="s">
        <v>29</v>
      </c>
      <c r="D984" s="2">
        <v>1935</v>
      </c>
      <c r="E984" s="2">
        <v>16642</v>
      </c>
      <c r="F984" s="3">
        <v>43331</v>
      </c>
    </row>
    <row r="985" spans="1:6" x14ac:dyDescent="0.3">
      <c r="A985">
        <v>2018</v>
      </c>
      <c r="B985" t="s">
        <v>6</v>
      </c>
      <c r="C985" t="s">
        <v>30</v>
      </c>
      <c r="D985" s="2">
        <v>1771</v>
      </c>
      <c r="E985" s="2">
        <v>12503</v>
      </c>
      <c r="F985" s="3">
        <v>67090</v>
      </c>
    </row>
    <row r="986" spans="1:6" x14ac:dyDescent="0.3">
      <c r="A986">
        <v>2018</v>
      </c>
      <c r="B986" t="s">
        <v>6</v>
      </c>
      <c r="C986" t="s">
        <v>31</v>
      </c>
      <c r="D986" s="2">
        <v>2378</v>
      </c>
      <c r="E986" s="2">
        <v>15823</v>
      </c>
      <c r="F986" s="3">
        <v>41084</v>
      </c>
    </row>
    <row r="987" spans="1:6" x14ac:dyDescent="0.3">
      <c r="A987">
        <v>2018</v>
      </c>
      <c r="B987" t="s">
        <v>6</v>
      </c>
      <c r="C987" t="s">
        <v>32</v>
      </c>
      <c r="D987">
        <v>641</v>
      </c>
      <c r="E987" s="2">
        <v>19336</v>
      </c>
      <c r="F987" s="3">
        <v>82872</v>
      </c>
    </row>
    <row r="988" spans="1:6" x14ac:dyDescent="0.3">
      <c r="A988">
        <v>2018</v>
      </c>
      <c r="B988" t="s">
        <v>6</v>
      </c>
      <c r="C988" t="s">
        <v>33</v>
      </c>
      <c r="D988">
        <v>344</v>
      </c>
      <c r="E988" s="2">
        <v>2619</v>
      </c>
      <c r="F988" s="3">
        <v>42081</v>
      </c>
    </row>
    <row r="989" spans="1:6" x14ac:dyDescent="0.3">
      <c r="A989">
        <v>2018</v>
      </c>
      <c r="B989" t="s">
        <v>6</v>
      </c>
      <c r="C989" t="s">
        <v>34</v>
      </c>
      <c r="D989" s="2">
        <v>1003</v>
      </c>
      <c r="E989" s="2">
        <v>12165</v>
      </c>
      <c r="F989" s="3">
        <v>39981</v>
      </c>
    </row>
    <row r="990" spans="1:6" x14ac:dyDescent="0.3">
      <c r="A990">
        <v>2018</v>
      </c>
      <c r="B990" t="s">
        <v>6</v>
      </c>
      <c r="C990" t="s">
        <v>35</v>
      </c>
      <c r="D990" s="2">
        <v>2007</v>
      </c>
      <c r="E990" s="2">
        <v>35856</v>
      </c>
      <c r="F990" s="3">
        <v>64393</v>
      </c>
    </row>
    <row r="991" spans="1:6" x14ac:dyDescent="0.3">
      <c r="A991">
        <v>2018</v>
      </c>
      <c r="B991" t="s">
        <v>6</v>
      </c>
      <c r="C991" t="s">
        <v>36</v>
      </c>
      <c r="D991" s="2">
        <v>3062</v>
      </c>
      <c r="E991" s="2">
        <v>31787</v>
      </c>
      <c r="F991" s="3">
        <v>41230</v>
      </c>
    </row>
    <row r="992" spans="1:6" x14ac:dyDescent="0.3">
      <c r="A992">
        <v>2018</v>
      </c>
      <c r="B992" t="s">
        <v>6</v>
      </c>
      <c r="C992" t="s">
        <v>37</v>
      </c>
      <c r="D992" s="2">
        <v>3330</v>
      </c>
      <c r="E992" s="2">
        <v>30208</v>
      </c>
      <c r="F992" s="3">
        <v>39062</v>
      </c>
    </row>
    <row r="993" spans="1:6" x14ac:dyDescent="0.3">
      <c r="A993">
        <v>2018</v>
      </c>
      <c r="B993" t="s">
        <v>6</v>
      </c>
      <c r="C993" t="s">
        <v>38</v>
      </c>
      <c r="D993" s="2">
        <v>1766</v>
      </c>
      <c r="E993" s="2">
        <v>25422</v>
      </c>
      <c r="F993" s="3">
        <v>95073</v>
      </c>
    </row>
    <row r="994" spans="1:6" x14ac:dyDescent="0.3">
      <c r="A994">
        <v>2018</v>
      </c>
      <c r="B994" t="s">
        <v>6</v>
      </c>
      <c r="C994" t="s">
        <v>39</v>
      </c>
      <c r="D994" s="2">
        <v>2470</v>
      </c>
      <c r="E994" s="2">
        <v>28520</v>
      </c>
      <c r="F994" s="3">
        <v>51145</v>
      </c>
    </row>
    <row r="995" spans="1:6" x14ac:dyDescent="0.3">
      <c r="A995">
        <v>2018</v>
      </c>
      <c r="B995" t="s">
        <v>6</v>
      </c>
      <c r="C995" t="s">
        <v>40</v>
      </c>
      <c r="D995" s="2">
        <v>4348</v>
      </c>
      <c r="E995" s="2">
        <v>64020</v>
      </c>
      <c r="F995" s="3">
        <v>91135</v>
      </c>
    </row>
    <row r="996" spans="1:6" x14ac:dyDescent="0.3">
      <c r="A996">
        <v>2018</v>
      </c>
      <c r="B996" t="s">
        <v>6</v>
      </c>
      <c r="C996" t="s">
        <v>41</v>
      </c>
      <c r="D996" s="2">
        <v>4560</v>
      </c>
      <c r="E996" s="2">
        <v>53530</v>
      </c>
      <c r="F996" s="3">
        <v>37495</v>
      </c>
    </row>
    <row r="997" spans="1:6" x14ac:dyDescent="0.3">
      <c r="A997">
        <v>2018</v>
      </c>
      <c r="B997" t="s">
        <v>6</v>
      </c>
      <c r="C997" t="s">
        <v>42</v>
      </c>
      <c r="D997" s="2">
        <v>3585</v>
      </c>
      <c r="E997" s="2">
        <v>52523</v>
      </c>
      <c r="F997" s="3">
        <v>62951</v>
      </c>
    </row>
    <row r="998" spans="1:6" x14ac:dyDescent="0.3">
      <c r="A998">
        <v>2018</v>
      </c>
      <c r="B998" t="s">
        <v>6</v>
      </c>
      <c r="C998" t="s">
        <v>43</v>
      </c>
      <c r="D998">
        <v>194</v>
      </c>
      <c r="E998" s="2">
        <v>1056</v>
      </c>
      <c r="F998" s="3">
        <v>39071</v>
      </c>
    </row>
    <row r="999" spans="1:6" x14ac:dyDescent="0.3">
      <c r="A999">
        <v>2018</v>
      </c>
      <c r="B999" t="s">
        <v>6</v>
      </c>
      <c r="C999" t="s">
        <v>44</v>
      </c>
      <c r="D999" s="2">
        <v>1286</v>
      </c>
      <c r="E999" s="2">
        <v>12662</v>
      </c>
      <c r="F999" s="3">
        <v>40536</v>
      </c>
    </row>
    <row r="1000" spans="1:6" x14ac:dyDescent="0.3">
      <c r="A1000">
        <v>2018</v>
      </c>
      <c r="B1000" t="s">
        <v>6</v>
      </c>
      <c r="C1000" t="s">
        <v>45</v>
      </c>
      <c r="D1000" s="2">
        <v>1047</v>
      </c>
      <c r="E1000" s="2">
        <v>6831</v>
      </c>
      <c r="F1000" s="3">
        <v>42904</v>
      </c>
    </row>
    <row r="1001" spans="1:6" x14ac:dyDescent="0.3">
      <c r="A1001">
        <v>2018</v>
      </c>
      <c r="B1001" t="s">
        <v>6</v>
      </c>
      <c r="C1001" t="s">
        <v>46</v>
      </c>
      <c r="D1001" s="2">
        <v>1099</v>
      </c>
      <c r="E1001" s="2">
        <v>11051</v>
      </c>
      <c r="F1001" s="3">
        <v>46634</v>
      </c>
    </row>
    <row r="1002" spans="1:6" x14ac:dyDescent="0.3">
      <c r="A1002">
        <v>2018</v>
      </c>
      <c r="B1002" t="s">
        <v>6</v>
      </c>
      <c r="C1002" t="s">
        <v>47</v>
      </c>
      <c r="D1002" s="2">
        <v>19761</v>
      </c>
      <c r="E1002" s="2">
        <v>304275</v>
      </c>
      <c r="F1002" s="3">
        <v>109449</v>
      </c>
    </row>
    <row r="1003" spans="1:6" x14ac:dyDescent="0.3">
      <c r="A1003">
        <v>2018</v>
      </c>
      <c r="B1003" t="s">
        <v>6</v>
      </c>
      <c r="C1003" t="s">
        <v>48</v>
      </c>
      <c r="D1003" s="2">
        <v>1002</v>
      </c>
      <c r="E1003" s="2">
        <v>15159</v>
      </c>
      <c r="F1003" s="3">
        <v>61171</v>
      </c>
    </row>
    <row r="1004" spans="1:6" x14ac:dyDescent="0.3">
      <c r="A1004">
        <v>2018</v>
      </c>
      <c r="B1004" t="s">
        <v>6</v>
      </c>
      <c r="C1004" t="s">
        <v>49</v>
      </c>
      <c r="D1004">
        <v>548</v>
      </c>
      <c r="E1004" s="2">
        <v>3930</v>
      </c>
      <c r="F1004" s="3">
        <v>38605</v>
      </c>
    </row>
    <row r="1005" spans="1:6" x14ac:dyDescent="0.3">
      <c r="A1005">
        <v>2018</v>
      </c>
      <c r="B1005" t="s">
        <v>6</v>
      </c>
      <c r="C1005" t="s">
        <v>50</v>
      </c>
      <c r="D1005" s="2">
        <v>2101</v>
      </c>
      <c r="E1005" s="2">
        <v>19281</v>
      </c>
      <c r="F1005" s="3">
        <v>47043</v>
      </c>
    </row>
    <row r="1006" spans="1:6" x14ac:dyDescent="0.3">
      <c r="A1006">
        <v>2018</v>
      </c>
      <c r="B1006" t="s">
        <v>6</v>
      </c>
      <c r="C1006" t="s">
        <v>51</v>
      </c>
      <c r="D1006" s="2">
        <v>7317</v>
      </c>
      <c r="E1006" s="2">
        <v>109210</v>
      </c>
      <c r="F1006" s="3">
        <v>33346</v>
      </c>
    </row>
    <row r="1007" spans="1:6" x14ac:dyDescent="0.3">
      <c r="A1007">
        <v>2018</v>
      </c>
      <c r="B1007" t="s">
        <v>6</v>
      </c>
      <c r="C1007" t="s">
        <v>52</v>
      </c>
      <c r="D1007" s="2">
        <v>1199</v>
      </c>
      <c r="E1007" s="2">
        <v>23481</v>
      </c>
      <c r="F1007" s="3">
        <v>80012</v>
      </c>
    </row>
    <row r="1008" spans="1:6" x14ac:dyDescent="0.3">
      <c r="A1008">
        <v>2018</v>
      </c>
      <c r="B1008" t="s">
        <v>6</v>
      </c>
      <c r="C1008" t="s">
        <v>53</v>
      </c>
      <c r="D1008" s="2">
        <v>2926</v>
      </c>
      <c r="E1008" s="2">
        <v>32257</v>
      </c>
      <c r="F1008" s="3">
        <v>39437</v>
      </c>
    </row>
    <row r="1009" spans="1:6" x14ac:dyDescent="0.3">
      <c r="A1009">
        <v>2018</v>
      </c>
      <c r="B1009" t="s">
        <v>6</v>
      </c>
      <c r="C1009" t="s">
        <v>54</v>
      </c>
      <c r="D1009" s="2">
        <v>1438</v>
      </c>
      <c r="E1009" s="2">
        <v>23488</v>
      </c>
      <c r="F1009" s="3">
        <v>83751</v>
      </c>
    </row>
    <row r="1010" spans="1:6" x14ac:dyDescent="0.3">
      <c r="A1010">
        <v>2018</v>
      </c>
      <c r="B1010" t="s">
        <v>55</v>
      </c>
      <c r="C1010" t="s">
        <v>7</v>
      </c>
      <c r="D1010" s="2">
        <v>9897</v>
      </c>
      <c r="E1010" s="2">
        <v>89207</v>
      </c>
      <c r="F1010" s="3">
        <v>53957</v>
      </c>
    </row>
    <row r="1011" spans="1:6" x14ac:dyDescent="0.3">
      <c r="A1011">
        <v>2018</v>
      </c>
      <c r="B1011" t="s">
        <v>55</v>
      </c>
      <c r="C1011" t="s">
        <v>8</v>
      </c>
      <c r="D1011" s="2">
        <v>12867</v>
      </c>
      <c r="E1011" s="2">
        <v>158251</v>
      </c>
      <c r="F1011" s="3">
        <v>55989</v>
      </c>
    </row>
    <row r="1012" spans="1:6" x14ac:dyDescent="0.3">
      <c r="A1012">
        <v>2018</v>
      </c>
      <c r="B1012" t="s">
        <v>55</v>
      </c>
      <c r="C1012" t="s">
        <v>9</v>
      </c>
      <c r="D1012" s="2">
        <v>6945</v>
      </c>
      <c r="E1012" s="2">
        <v>50848</v>
      </c>
      <c r="F1012" s="3">
        <v>47988</v>
      </c>
    </row>
    <row r="1013" spans="1:6" x14ac:dyDescent="0.3">
      <c r="A1013">
        <v>2018</v>
      </c>
      <c r="B1013" t="s">
        <v>55</v>
      </c>
      <c r="C1013" t="s">
        <v>10</v>
      </c>
      <c r="D1013" s="2">
        <v>80657</v>
      </c>
      <c r="E1013" s="2">
        <v>860278</v>
      </c>
      <c r="F1013" s="3">
        <v>70084</v>
      </c>
    </row>
    <row r="1014" spans="1:6" x14ac:dyDescent="0.3">
      <c r="A1014">
        <v>2018</v>
      </c>
      <c r="B1014" t="s">
        <v>55</v>
      </c>
      <c r="C1014" t="s">
        <v>11</v>
      </c>
      <c r="D1014" s="2">
        <v>19884</v>
      </c>
      <c r="E1014" s="2">
        <v>173096</v>
      </c>
      <c r="F1014" s="3">
        <v>62414</v>
      </c>
    </row>
    <row r="1015" spans="1:6" x14ac:dyDescent="0.3">
      <c r="A1015">
        <v>2018</v>
      </c>
      <c r="B1015" t="s">
        <v>55</v>
      </c>
      <c r="C1015" t="s">
        <v>12</v>
      </c>
      <c r="D1015" s="2">
        <v>9399</v>
      </c>
      <c r="E1015" s="2">
        <v>58769</v>
      </c>
      <c r="F1015" s="3">
        <v>69727</v>
      </c>
    </row>
    <row r="1016" spans="1:6" x14ac:dyDescent="0.3">
      <c r="A1016">
        <v>2018</v>
      </c>
      <c r="B1016" t="s">
        <v>55</v>
      </c>
      <c r="C1016" t="s">
        <v>13</v>
      </c>
      <c r="D1016" s="2">
        <v>2871</v>
      </c>
      <c r="E1016" s="2">
        <v>22192</v>
      </c>
      <c r="F1016" s="3">
        <v>59797</v>
      </c>
    </row>
    <row r="1017" spans="1:6" x14ac:dyDescent="0.3">
      <c r="A1017">
        <v>2018</v>
      </c>
      <c r="B1017" t="s">
        <v>55</v>
      </c>
      <c r="C1017" t="s">
        <v>14</v>
      </c>
      <c r="D1017" s="2">
        <v>70819</v>
      </c>
      <c r="E1017" s="2">
        <v>541083</v>
      </c>
      <c r="F1017" s="3">
        <v>51286</v>
      </c>
    </row>
    <row r="1018" spans="1:6" x14ac:dyDescent="0.3">
      <c r="A1018">
        <v>2018</v>
      </c>
      <c r="B1018" t="s">
        <v>55</v>
      </c>
      <c r="C1018" t="s">
        <v>15</v>
      </c>
      <c r="D1018" s="2">
        <v>20577</v>
      </c>
      <c r="E1018" s="2">
        <v>195221</v>
      </c>
      <c r="F1018" s="3">
        <v>61018</v>
      </c>
    </row>
    <row r="1019" spans="1:6" x14ac:dyDescent="0.3">
      <c r="A1019">
        <v>2018</v>
      </c>
      <c r="B1019" t="s">
        <v>55</v>
      </c>
      <c r="C1019" t="s">
        <v>16</v>
      </c>
      <c r="D1019" s="2">
        <v>8174</v>
      </c>
      <c r="E1019" s="2">
        <v>46827</v>
      </c>
      <c r="F1019" s="3">
        <v>44285</v>
      </c>
    </row>
    <row r="1020" spans="1:6" x14ac:dyDescent="0.3">
      <c r="A1020">
        <v>2018</v>
      </c>
      <c r="B1020" t="s">
        <v>55</v>
      </c>
      <c r="C1020" t="s">
        <v>17</v>
      </c>
      <c r="D1020" s="2">
        <v>32305</v>
      </c>
      <c r="E1020" s="2">
        <v>225991</v>
      </c>
      <c r="F1020" s="3">
        <v>71957</v>
      </c>
    </row>
    <row r="1021" spans="1:6" x14ac:dyDescent="0.3">
      <c r="A1021">
        <v>2018</v>
      </c>
      <c r="B1021" t="s">
        <v>55</v>
      </c>
      <c r="C1021" t="s">
        <v>18</v>
      </c>
      <c r="D1021" s="2">
        <v>15176</v>
      </c>
      <c r="E1021" s="2">
        <v>141028</v>
      </c>
      <c r="F1021" s="3">
        <v>58404</v>
      </c>
    </row>
    <row r="1022" spans="1:6" x14ac:dyDescent="0.3">
      <c r="A1022">
        <v>2018</v>
      </c>
      <c r="B1022" t="s">
        <v>55</v>
      </c>
      <c r="C1022" t="s">
        <v>19</v>
      </c>
      <c r="D1022" s="2">
        <v>9447</v>
      </c>
      <c r="E1022" s="2">
        <v>77230</v>
      </c>
      <c r="F1022" s="3">
        <v>57435</v>
      </c>
    </row>
    <row r="1023" spans="1:6" x14ac:dyDescent="0.3">
      <c r="A1023">
        <v>2018</v>
      </c>
      <c r="B1023" t="s">
        <v>55</v>
      </c>
      <c r="C1023" t="s">
        <v>20</v>
      </c>
      <c r="D1023" s="2">
        <v>7555</v>
      </c>
      <c r="E1023" s="2">
        <v>61206</v>
      </c>
      <c r="F1023" s="3">
        <v>54735</v>
      </c>
    </row>
    <row r="1024" spans="1:6" x14ac:dyDescent="0.3">
      <c r="A1024">
        <v>2018</v>
      </c>
      <c r="B1024" t="s">
        <v>55</v>
      </c>
      <c r="C1024" t="s">
        <v>21</v>
      </c>
      <c r="D1024" s="2">
        <v>9466</v>
      </c>
      <c r="E1024" s="2">
        <v>77934</v>
      </c>
      <c r="F1024" s="3">
        <v>53957</v>
      </c>
    </row>
    <row r="1025" spans="1:6" x14ac:dyDescent="0.3">
      <c r="A1025">
        <v>2018</v>
      </c>
      <c r="B1025" t="s">
        <v>55</v>
      </c>
      <c r="C1025" t="s">
        <v>22</v>
      </c>
      <c r="D1025" s="2">
        <v>10844</v>
      </c>
      <c r="E1025" s="2">
        <v>151993</v>
      </c>
      <c r="F1025" s="3">
        <v>63892</v>
      </c>
    </row>
    <row r="1026" spans="1:6" x14ac:dyDescent="0.3">
      <c r="A1026">
        <v>2018</v>
      </c>
      <c r="B1026" t="s">
        <v>55</v>
      </c>
      <c r="C1026" t="s">
        <v>23</v>
      </c>
      <c r="D1026" s="2">
        <v>5475</v>
      </c>
      <c r="E1026" s="2">
        <v>29285</v>
      </c>
      <c r="F1026" s="3">
        <v>49575</v>
      </c>
    </row>
    <row r="1027" spans="1:6" x14ac:dyDescent="0.3">
      <c r="A1027">
        <v>2018</v>
      </c>
      <c r="B1027" t="s">
        <v>55</v>
      </c>
      <c r="C1027" t="s">
        <v>24</v>
      </c>
      <c r="D1027" s="2">
        <v>16487</v>
      </c>
      <c r="E1027" s="2">
        <v>163210</v>
      </c>
      <c r="F1027" s="3">
        <v>65971</v>
      </c>
    </row>
    <row r="1028" spans="1:6" x14ac:dyDescent="0.3">
      <c r="A1028">
        <v>2018</v>
      </c>
      <c r="B1028" t="s">
        <v>55</v>
      </c>
      <c r="C1028" t="s">
        <v>25</v>
      </c>
      <c r="D1028" s="2">
        <v>21120</v>
      </c>
      <c r="E1028" s="2">
        <v>158656</v>
      </c>
      <c r="F1028" s="3">
        <v>78802</v>
      </c>
    </row>
    <row r="1029" spans="1:6" x14ac:dyDescent="0.3">
      <c r="A1029">
        <v>2018</v>
      </c>
      <c r="B1029" t="s">
        <v>55</v>
      </c>
      <c r="C1029" t="s">
        <v>26</v>
      </c>
      <c r="D1029" s="2">
        <v>19952</v>
      </c>
      <c r="E1029" s="2">
        <v>168632</v>
      </c>
      <c r="F1029" s="3">
        <v>62378</v>
      </c>
    </row>
    <row r="1030" spans="1:6" x14ac:dyDescent="0.3">
      <c r="A1030">
        <v>2018</v>
      </c>
      <c r="B1030" t="s">
        <v>55</v>
      </c>
      <c r="C1030" t="s">
        <v>27</v>
      </c>
      <c r="D1030" s="2">
        <v>16480</v>
      </c>
      <c r="E1030" s="2">
        <v>121665</v>
      </c>
      <c r="F1030" s="3">
        <v>67248</v>
      </c>
    </row>
    <row r="1031" spans="1:6" x14ac:dyDescent="0.3">
      <c r="A1031">
        <v>2018</v>
      </c>
      <c r="B1031" t="s">
        <v>55</v>
      </c>
      <c r="C1031" t="s">
        <v>28</v>
      </c>
      <c r="D1031" s="2">
        <v>5760</v>
      </c>
      <c r="E1031" s="2">
        <v>43911</v>
      </c>
      <c r="F1031" s="3">
        <v>50325</v>
      </c>
    </row>
    <row r="1032" spans="1:6" x14ac:dyDescent="0.3">
      <c r="A1032">
        <v>2018</v>
      </c>
      <c r="B1032" t="s">
        <v>55</v>
      </c>
      <c r="C1032" t="s">
        <v>29</v>
      </c>
      <c r="D1032" s="2">
        <v>14591</v>
      </c>
      <c r="E1032" s="2">
        <v>122662</v>
      </c>
      <c r="F1032" s="3">
        <v>59442</v>
      </c>
    </row>
    <row r="1033" spans="1:6" x14ac:dyDescent="0.3">
      <c r="A1033">
        <v>2018</v>
      </c>
      <c r="B1033" t="s">
        <v>55</v>
      </c>
      <c r="C1033" t="s">
        <v>30</v>
      </c>
      <c r="D1033" s="2">
        <v>6514</v>
      </c>
      <c r="E1033" s="2">
        <v>29077</v>
      </c>
      <c r="F1033" s="3">
        <v>52969</v>
      </c>
    </row>
    <row r="1034" spans="1:6" x14ac:dyDescent="0.3">
      <c r="A1034">
        <v>2018</v>
      </c>
      <c r="B1034" t="s">
        <v>55</v>
      </c>
      <c r="C1034" t="s">
        <v>31</v>
      </c>
      <c r="D1034" s="2">
        <v>7068</v>
      </c>
      <c r="E1034" s="2">
        <v>52320</v>
      </c>
      <c r="F1034" s="3">
        <v>51657</v>
      </c>
    </row>
    <row r="1035" spans="1:6" x14ac:dyDescent="0.3">
      <c r="A1035">
        <v>2018</v>
      </c>
      <c r="B1035" t="s">
        <v>55</v>
      </c>
      <c r="C1035" t="s">
        <v>32</v>
      </c>
      <c r="D1035" s="2">
        <v>5898</v>
      </c>
      <c r="E1035" s="2">
        <v>89125</v>
      </c>
      <c r="F1035" s="3">
        <v>61123</v>
      </c>
    </row>
    <row r="1036" spans="1:6" x14ac:dyDescent="0.3">
      <c r="A1036">
        <v>2018</v>
      </c>
      <c r="B1036" t="s">
        <v>55</v>
      </c>
      <c r="C1036" t="s">
        <v>33</v>
      </c>
      <c r="D1036" s="2">
        <v>4498</v>
      </c>
      <c r="E1036" s="2">
        <v>26890</v>
      </c>
      <c r="F1036" s="3">
        <v>62661</v>
      </c>
    </row>
    <row r="1037" spans="1:6" x14ac:dyDescent="0.3">
      <c r="A1037">
        <v>2018</v>
      </c>
      <c r="B1037" t="s">
        <v>55</v>
      </c>
      <c r="C1037" t="s">
        <v>34</v>
      </c>
      <c r="D1037" s="2">
        <v>22416</v>
      </c>
      <c r="E1037" s="2">
        <v>157147</v>
      </c>
      <c r="F1037" s="3">
        <v>72658</v>
      </c>
    </row>
    <row r="1038" spans="1:6" x14ac:dyDescent="0.3">
      <c r="A1038">
        <v>2018</v>
      </c>
      <c r="B1038" t="s">
        <v>55</v>
      </c>
      <c r="C1038" t="s">
        <v>35</v>
      </c>
      <c r="D1038" s="2">
        <v>5337</v>
      </c>
      <c r="E1038" s="2">
        <v>47224</v>
      </c>
      <c r="F1038" s="3">
        <v>49350</v>
      </c>
    </row>
    <row r="1039" spans="1:6" x14ac:dyDescent="0.3">
      <c r="A1039">
        <v>2018</v>
      </c>
      <c r="B1039" t="s">
        <v>55</v>
      </c>
      <c r="C1039" t="s">
        <v>36</v>
      </c>
      <c r="D1039" s="2">
        <v>50281</v>
      </c>
      <c r="E1039" s="2">
        <v>399629</v>
      </c>
      <c r="F1039" s="3">
        <v>73248</v>
      </c>
    </row>
    <row r="1040" spans="1:6" x14ac:dyDescent="0.3">
      <c r="A1040">
        <v>2018</v>
      </c>
      <c r="B1040" t="s">
        <v>55</v>
      </c>
      <c r="C1040" t="s">
        <v>37</v>
      </c>
      <c r="D1040" s="2">
        <v>26741</v>
      </c>
      <c r="E1040" s="2">
        <v>220692</v>
      </c>
      <c r="F1040" s="3">
        <v>54587</v>
      </c>
    </row>
    <row r="1041" spans="1:6" x14ac:dyDescent="0.3">
      <c r="A1041">
        <v>2018</v>
      </c>
      <c r="B1041" t="s">
        <v>55</v>
      </c>
      <c r="C1041" t="s">
        <v>38</v>
      </c>
      <c r="D1041" s="2">
        <v>3798</v>
      </c>
      <c r="E1041" s="2">
        <v>26002</v>
      </c>
      <c r="F1041" s="3">
        <v>64586</v>
      </c>
    </row>
    <row r="1042" spans="1:6" x14ac:dyDescent="0.3">
      <c r="A1042">
        <v>2018</v>
      </c>
      <c r="B1042" t="s">
        <v>55</v>
      </c>
      <c r="C1042" t="s">
        <v>39</v>
      </c>
      <c r="D1042" s="2">
        <v>23076</v>
      </c>
      <c r="E1042" s="2">
        <v>220709</v>
      </c>
      <c r="F1042" s="3">
        <v>61194</v>
      </c>
    </row>
    <row r="1043" spans="1:6" x14ac:dyDescent="0.3">
      <c r="A1043">
        <v>2018</v>
      </c>
      <c r="B1043" t="s">
        <v>55</v>
      </c>
      <c r="C1043" t="s">
        <v>40</v>
      </c>
      <c r="D1043" s="2">
        <v>9765</v>
      </c>
      <c r="E1043" s="2">
        <v>80295</v>
      </c>
      <c r="F1043" s="3">
        <v>52777</v>
      </c>
    </row>
    <row r="1044" spans="1:6" x14ac:dyDescent="0.3">
      <c r="A1044">
        <v>2018</v>
      </c>
      <c r="B1044" t="s">
        <v>55</v>
      </c>
      <c r="C1044" t="s">
        <v>41</v>
      </c>
      <c r="D1044" s="2">
        <v>14244</v>
      </c>
      <c r="E1044" s="2">
        <v>104561</v>
      </c>
      <c r="F1044" s="3">
        <v>60523</v>
      </c>
    </row>
    <row r="1045" spans="1:6" x14ac:dyDescent="0.3">
      <c r="A1045">
        <v>2018</v>
      </c>
      <c r="B1045" t="s">
        <v>55</v>
      </c>
      <c r="C1045" t="s">
        <v>42</v>
      </c>
      <c r="D1045" s="2">
        <v>28749</v>
      </c>
      <c r="E1045" s="2">
        <v>255910</v>
      </c>
      <c r="F1045" s="3">
        <v>66852</v>
      </c>
    </row>
    <row r="1046" spans="1:6" x14ac:dyDescent="0.3">
      <c r="A1046">
        <v>2018</v>
      </c>
      <c r="B1046" t="s">
        <v>55</v>
      </c>
      <c r="C1046" t="s">
        <v>43</v>
      </c>
      <c r="D1046" s="2">
        <v>3743</v>
      </c>
      <c r="E1046" s="2">
        <v>19229</v>
      </c>
      <c r="F1046" s="3">
        <v>61579</v>
      </c>
    </row>
    <row r="1047" spans="1:6" x14ac:dyDescent="0.3">
      <c r="A1047">
        <v>2018</v>
      </c>
      <c r="B1047" t="s">
        <v>55</v>
      </c>
      <c r="C1047" t="s">
        <v>44</v>
      </c>
      <c r="D1047" s="2">
        <v>12124</v>
      </c>
      <c r="E1047" s="2">
        <v>104324</v>
      </c>
      <c r="F1047" s="3">
        <v>52634</v>
      </c>
    </row>
    <row r="1048" spans="1:6" x14ac:dyDescent="0.3">
      <c r="A1048">
        <v>2018</v>
      </c>
      <c r="B1048" t="s">
        <v>55</v>
      </c>
      <c r="C1048" t="s">
        <v>45</v>
      </c>
      <c r="D1048" s="2">
        <v>3884</v>
      </c>
      <c r="E1048" s="2">
        <v>22971</v>
      </c>
      <c r="F1048" s="3">
        <v>48981</v>
      </c>
    </row>
    <row r="1049" spans="1:6" x14ac:dyDescent="0.3">
      <c r="A1049">
        <v>2018</v>
      </c>
      <c r="B1049" t="s">
        <v>55</v>
      </c>
      <c r="C1049" t="s">
        <v>46</v>
      </c>
      <c r="D1049" s="2">
        <v>12110</v>
      </c>
      <c r="E1049" s="2">
        <v>124488</v>
      </c>
      <c r="F1049" s="3">
        <v>57033</v>
      </c>
    </row>
    <row r="1050" spans="1:6" x14ac:dyDescent="0.3">
      <c r="A1050">
        <v>2018</v>
      </c>
      <c r="B1050" t="s">
        <v>55</v>
      </c>
      <c r="C1050" t="s">
        <v>47</v>
      </c>
      <c r="D1050" s="2">
        <v>51405</v>
      </c>
      <c r="E1050" s="2">
        <v>739156</v>
      </c>
      <c r="F1050" s="3">
        <v>65554</v>
      </c>
    </row>
    <row r="1051" spans="1:6" x14ac:dyDescent="0.3">
      <c r="A1051">
        <v>2018</v>
      </c>
      <c r="B1051" t="s">
        <v>55</v>
      </c>
      <c r="C1051" t="s">
        <v>48</v>
      </c>
      <c r="D1051" s="2">
        <v>11572</v>
      </c>
      <c r="E1051" s="2">
        <v>104339</v>
      </c>
      <c r="F1051" s="3">
        <v>51052</v>
      </c>
    </row>
    <row r="1052" spans="1:6" x14ac:dyDescent="0.3">
      <c r="A1052">
        <v>2018</v>
      </c>
      <c r="B1052" t="s">
        <v>55</v>
      </c>
      <c r="C1052" t="s">
        <v>49</v>
      </c>
      <c r="D1052" s="2">
        <v>2878</v>
      </c>
      <c r="E1052" s="2">
        <v>15262</v>
      </c>
      <c r="F1052" s="3">
        <v>51025</v>
      </c>
    </row>
    <row r="1053" spans="1:6" x14ac:dyDescent="0.3">
      <c r="A1053">
        <v>2018</v>
      </c>
      <c r="B1053" t="s">
        <v>55</v>
      </c>
      <c r="C1053" t="s">
        <v>50</v>
      </c>
      <c r="D1053" s="2">
        <v>21508</v>
      </c>
      <c r="E1053" s="2">
        <v>197292</v>
      </c>
      <c r="F1053" s="3">
        <v>58050</v>
      </c>
    </row>
    <row r="1054" spans="1:6" x14ac:dyDescent="0.3">
      <c r="A1054">
        <v>2018</v>
      </c>
      <c r="B1054" t="s">
        <v>55</v>
      </c>
      <c r="C1054" t="s">
        <v>51</v>
      </c>
      <c r="D1054" s="2">
        <v>26015</v>
      </c>
      <c r="E1054" s="2">
        <v>199867</v>
      </c>
      <c r="F1054" s="3">
        <v>64432</v>
      </c>
    </row>
    <row r="1055" spans="1:6" x14ac:dyDescent="0.3">
      <c r="A1055">
        <v>2018</v>
      </c>
      <c r="B1055" t="s">
        <v>55</v>
      </c>
      <c r="C1055" t="s">
        <v>52</v>
      </c>
      <c r="D1055" s="2">
        <v>4435</v>
      </c>
      <c r="E1055" s="2">
        <v>40126</v>
      </c>
      <c r="F1055" s="3">
        <v>72255</v>
      </c>
    </row>
    <row r="1056" spans="1:6" x14ac:dyDescent="0.3">
      <c r="A1056">
        <v>2018</v>
      </c>
      <c r="B1056" t="s">
        <v>55</v>
      </c>
      <c r="C1056" t="s">
        <v>53</v>
      </c>
      <c r="D1056" s="2">
        <v>14814</v>
      </c>
      <c r="E1056" s="2">
        <v>122396</v>
      </c>
      <c r="F1056" s="3">
        <v>62063</v>
      </c>
    </row>
    <row r="1057" spans="1:6" x14ac:dyDescent="0.3">
      <c r="A1057">
        <v>2018</v>
      </c>
      <c r="B1057" t="s">
        <v>55</v>
      </c>
      <c r="C1057" t="s">
        <v>54</v>
      </c>
      <c r="D1057" s="2">
        <v>3375</v>
      </c>
      <c r="E1057" s="2">
        <v>20253</v>
      </c>
      <c r="F1057" s="3">
        <v>53554</v>
      </c>
    </row>
    <row r="1058" spans="1:6" x14ac:dyDescent="0.3">
      <c r="A1058">
        <v>2018</v>
      </c>
      <c r="B1058" t="s">
        <v>56</v>
      </c>
      <c r="C1058" t="s">
        <v>7</v>
      </c>
      <c r="D1058" s="2">
        <v>5566</v>
      </c>
      <c r="E1058" s="2">
        <v>266798</v>
      </c>
      <c r="F1058" s="3">
        <v>57068</v>
      </c>
    </row>
    <row r="1059" spans="1:6" x14ac:dyDescent="0.3">
      <c r="A1059">
        <v>2018</v>
      </c>
      <c r="B1059" t="s">
        <v>56</v>
      </c>
      <c r="C1059" t="s">
        <v>8</v>
      </c>
      <c r="D1059" s="2">
        <v>4926</v>
      </c>
      <c r="E1059" s="2">
        <v>169675</v>
      </c>
      <c r="F1059" s="3">
        <v>76139</v>
      </c>
    </row>
    <row r="1060" spans="1:6" x14ac:dyDescent="0.3">
      <c r="A1060">
        <v>2018</v>
      </c>
      <c r="B1060" t="s">
        <v>56</v>
      </c>
      <c r="C1060" t="s">
        <v>9</v>
      </c>
      <c r="D1060" s="2">
        <v>2918</v>
      </c>
      <c r="E1060" s="2">
        <v>160597</v>
      </c>
      <c r="F1060" s="3">
        <v>47984</v>
      </c>
    </row>
    <row r="1061" spans="1:6" x14ac:dyDescent="0.3">
      <c r="A1061">
        <v>2018</v>
      </c>
      <c r="B1061" t="s">
        <v>56</v>
      </c>
      <c r="C1061" t="s">
        <v>10</v>
      </c>
      <c r="D1061" s="2">
        <v>44706</v>
      </c>
      <c r="E1061" s="2">
        <v>1320068</v>
      </c>
      <c r="F1061" s="3">
        <v>95627</v>
      </c>
    </row>
    <row r="1062" spans="1:6" x14ac:dyDescent="0.3">
      <c r="A1062">
        <v>2018</v>
      </c>
      <c r="B1062" t="s">
        <v>56</v>
      </c>
      <c r="C1062" t="s">
        <v>11</v>
      </c>
      <c r="D1062" s="2">
        <v>5804</v>
      </c>
      <c r="E1062" s="2">
        <v>147285</v>
      </c>
      <c r="F1062" s="3">
        <v>70677</v>
      </c>
    </row>
    <row r="1063" spans="1:6" x14ac:dyDescent="0.3">
      <c r="A1063">
        <v>2018</v>
      </c>
      <c r="B1063" t="s">
        <v>56</v>
      </c>
      <c r="C1063" t="s">
        <v>12</v>
      </c>
      <c r="D1063" s="2">
        <v>4408</v>
      </c>
      <c r="E1063" s="2">
        <v>160500</v>
      </c>
      <c r="F1063" s="3">
        <v>82569</v>
      </c>
    </row>
    <row r="1064" spans="1:6" x14ac:dyDescent="0.3">
      <c r="A1064">
        <v>2018</v>
      </c>
      <c r="B1064" t="s">
        <v>56</v>
      </c>
      <c r="C1064" t="s">
        <v>13</v>
      </c>
      <c r="D1064">
        <v>661</v>
      </c>
      <c r="E1064" s="2">
        <v>27077</v>
      </c>
      <c r="F1064" s="3">
        <v>64153</v>
      </c>
    </row>
    <row r="1065" spans="1:6" x14ac:dyDescent="0.3">
      <c r="A1065">
        <v>2018</v>
      </c>
      <c r="B1065" t="s">
        <v>56</v>
      </c>
      <c r="C1065" t="s">
        <v>14</v>
      </c>
      <c r="D1065" s="2">
        <v>20548</v>
      </c>
      <c r="E1065" s="2">
        <v>371590</v>
      </c>
      <c r="F1065" s="3">
        <v>61740</v>
      </c>
    </row>
    <row r="1066" spans="1:6" x14ac:dyDescent="0.3">
      <c r="A1066">
        <v>2018</v>
      </c>
      <c r="B1066" t="s">
        <v>56</v>
      </c>
      <c r="C1066" t="s">
        <v>15</v>
      </c>
      <c r="D1066" s="2">
        <v>9884</v>
      </c>
      <c r="E1066" s="2">
        <v>406818</v>
      </c>
      <c r="F1066" s="3">
        <v>59168</v>
      </c>
    </row>
    <row r="1067" spans="1:6" x14ac:dyDescent="0.3">
      <c r="A1067">
        <v>2018</v>
      </c>
      <c r="B1067" t="s">
        <v>56</v>
      </c>
      <c r="C1067" t="s">
        <v>16</v>
      </c>
      <c r="D1067" s="2">
        <v>2807</v>
      </c>
      <c r="E1067" s="2">
        <v>67792</v>
      </c>
      <c r="F1067" s="3">
        <v>63932</v>
      </c>
    </row>
    <row r="1068" spans="1:6" x14ac:dyDescent="0.3">
      <c r="A1068">
        <v>2018</v>
      </c>
      <c r="B1068" t="s">
        <v>56</v>
      </c>
      <c r="C1068" t="s">
        <v>17</v>
      </c>
      <c r="D1068" s="2">
        <v>17883</v>
      </c>
      <c r="E1068" s="2">
        <v>586130</v>
      </c>
      <c r="F1068" s="3">
        <v>71895</v>
      </c>
    </row>
    <row r="1069" spans="1:6" x14ac:dyDescent="0.3">
      <c r="A1069">
        <v>2018</v>
      </c>
      <c r="B1069" t="s">
        <v>56</v>
      </c>
      <c r="C1069" t="s">
        <v>18</v>
      </c>
      <c r="D1069" s="2">
        <v>8825</v>
      </c>
      <c r="E1069" s="2">
        <v>541836</v>
      </c>
      <c r="F1069" s="3">
        <v>62680</v>
      </c>
    </row>
    <row r="1070" spans="1:6" x14ac:dyDescent="0.3">
      <c r="A1070">
        <v>2018</v>
      </c>
      <c r="B1070" t="s">
        <v>56</v>
      </c>
      <c r="C1070" t="s">
        <v>19</v>
      </c>
      <c r="D1070" s="2">
        <v>4142</v>
      </c>
      <c r="E1070" s="2">
        <v>222586</v>
      </c>
      <c r="F1070" s="3">
        <v>60257</v>
      </c>
    </row>
    <row r="1071" spans="1:6" x14ac:dyDescent="0.3">
      <c r="A1071">
        <v>2018</v>
      </c>
      <c r="B1071" t="s">
        <v>56</v>
      </c>
      <c r="C1071" t="s">
        <v>20</v>
      </c>
      <c r="D1071" s="2">
        <v>3143</v>
      </c>
      <c r="E1071" s="2">
        <v>165056</v>
      </c>
      <c r="F1071" s="3">
        <v>59206</v>
      </c>
    </row>
    <row r="1072" spans="1:6" x14ac:dyDescent="0.3">
      <c r="A1072">
        <v>2018</v>
      </c>
      <c r="B1072" t="s">
        <v>56</v>
      </c>
      <c r="C1072" t="s">
        <v>21</v>
      </c>
      <c r="D1072" s="2">
        <v>4443</v>
      </c>
      <c r="E1072" s="2">
        <v>251454</v>
      </c>
      <c r="F1072" s="3">
        <v>59208</v>
      </c>
    </row>
    <row r="1073" spans="1:6" x14ac:dyDescent="0.3">
      <c r="A1073">
        <v>2018</v>
      </c>
      <c r="B1073" t="s">
        <v>56</v>
      </c>
      <c r="C1073" t="s">
        <v>22</v>
      </c>
      <c r="D1073" s="2">
        <v>4428</v>
      </c>
      <c r="E1073" s="2">
        <v>135510</v>
      </c>
      <c r="F1073" s="3">
        <v>75881</v>
      </c>
    </row>
    <row r="1074" spans="1:6" x14ac:dyDescent="0.3">
      <c r="A1074">
        <v>2018</v>
      </c>
      <c r="B1074" t="s">
        <v>56</v>
      </c>
      <c r="C1074" t="s">
        <v>23</v>
      </c>
      <c r="D1074" s="2">
        <v>1856</v>
      </c>
      <c r="E1074" s="2">
        <v>51836</v>
      </c>
      <c r="F1074" s="3">
        <v>55894</v>
      </c>
    </row>
    <row r="1075" spans="1:6" x14ac:dyDescent="0.3">
      <c r="A1075">
        <v>2018</v>
      </c>
      <c r="B1075" t="s">
        <v>56</v>
      </c>
      <c r="C1075" t="s">
        <v>24</v>
      </c>
      <c r="D1075" s="2">
        <v>4035</v>
      </c>
      <c r="E1075" s="2">
        <v>109683</v>
      </c>
      <c r="F1075" s="3">
        <v>78350</v>
      </c>
    </row>
    <row r="1076" spans="1:6" x14ac:dyDescent="0.3">
      <c r="A1076">
        <v>2018</v>
      </c>
      <c r="B1076" t="s">
        <v>56</v>
      </c>
      <c r="C1076" t="s">
        <v>25</v>
      </c>
      <c r="D1076" s="2">
        <v>6711</v>
      </c>
      <c r="E1076" s="2">
        <v>245091</v>
      </c>
      <c r="F1076" s="3">
        <v>88576</v>
      </c>
    </row>
    <row r="1077" spans="1:6" x14ac:dyDescent="0.3">
      <c r="A1077">
        <v>2018</v>
      </c>
      <c r="B1077" t="s">
        <v>56</v>
      </c>
      <c r="C1077" t="s">
        <v>26</v>
      </c>
      <c r="D1077" s="2">
        <v>16070</v>
      </c>
      <c r="E1077" s="2">
        <v>627751</v>
      </c>
      <c r="F1077" s="3">
        <v>67537</v>
      </c>
    </row>
    <row r="1078" spans="1:6" x14ac:dyDescent="0.3">
      <c r="A1078">
        <v>2018</v>
      </c>
      <c r="B1078" t="s">
        <v>56</v>
      </c>
      <c r="C1078" t="s">
        <v>27</v>
      </c>
      <c r="D1078" s="2">
        <v>8487</v>
      </c>
      <c r="E1078" s="2">
        <v>321908</v>
      </c>
      <c r="F1078" s="3">
        <v>67096</v>
      </c>
    </row>
    <row r="1079" spans="1:6" x14ac:dyDescent="0.3">
      <c r="A1079">
        <v>2018</v>
      </c>
      <c r="B1079" t="s">
        <v>56</v>
      </c>
      <c r="C1079" t="s">
        <v>28</v>
      </c>
      <c r="D1079" s="2">
        <v>2421</v>
      </c>
      <c r="E1079" s="2">
        <v>144816</v>
      </c>
      <c r="F1079" s="3">
        <v>49254</v>
      </c>
    </row>
    <row r="1080" spans="1:6" x14ac:dyDescent="0.3">
      <c r="A1080">
        <v>2018</v>
      </c>
      <c r="B1080" t="s">
        <v>56</v>
      </c>
      <c r="C1080" t="s">
        <v>29</v>
      </c>
      <c r="D1080" s="2">
        <v>6476</v>
      </c>
      <c r="E1080" s="2">
        <v>273163</v>
      </c>
      <c r="F1080" s="3">
        <v>58359</v>
      </c>
    </row>
    <row r="1081" spans="1:6" x14ac:dyDescent="0.3">
      <c r="A1081">
        <v>2018</v>
      </c>
      <c r="B1081" t="s">
        <v>56</v>
      </c>
      <c r="C1081" t="s">
        <v>30</v>
      </c>
      <c r="D1081" s="2">
        <v>1634</v>
      </c>
      <c r="E1081" s="2">
        <v>20560</v>
      </c>
      <c r="F1081" s="3">
        <v>50194</v>
      </c>
    </row>
    <row r="1082" spans="1:6" x14ac:dyDescent="0.3">
      <c r="A1082">
        <v>2018</v>
      </c>
      <c r="B1082" t="s">
        <v>56</v>
      </c>
      <c r="C1082" t="s">
        <v>31</v>
      </c>
      <c r="D1082" s="2">
        <v>1988</v>
      </c>
      <c r="E1082" s="2">
        <v>99807</v>
      </c>
      <c r="F1082" s="3">
        <v>51566</v>
      </c>
    </row>
    <row r="1083" spans="1:6" x14ac:dyDescent="0.3">
      <c r="A1083">
        <v>2018</v>
      </c>
      <c r="B1083" t="s">
        <v>56</v>
      </c>
      <c r="C1083" t="s">
        <v>32</v>
      </c>
      <c r="D1083" s="2">
        <v>2066</v>
      </c>
      <c r="E1083" s="2">
        <v>55405</v>
      </c>
      <c r="F1083" s="3">
        <v>58543</v>
      </c>
    </row>
    <row r="1084" spans="1:6" x14ac:dyDescent="0.3">
      <c r="A1084">
        <v>2018</v>
      </c>
      <c r="B1084" t="s">
        <v>56</v>
      </c>
      <c r="C1084" t="s">
        <v>33</v>
      </c>
      <c r="D1084" s="2">
        <v>2032</v>
      </c>
      <c r="E1084" s="2">
        <v>70582</v>
      </c>
      <c r="F1084" s="3">
        <v>71722</v>
      </c>
    </row>
    <row r="1085" spans="1:6" x14ac:dyDescent="0.3">
      <c r="A1085">
        <v>2018</v>
      </c>
      <c r="B1085" t="s">
        <v>56</v>
      </c>
      <c r="C1085" t="s">
        <v>34</v>
      </c>
      <c r="D1085" s="2">
        <v>8976</v>
      </c>
      <c r="E1085" s="2">
        <v>245593</v>
      </c>
      <c r="F1085" s="3">
        <v>80088</v>
      </c>
    </row>
    <row r="1086" spans="1:6" x14ac:dyDescent="0.3">
      <c r="A1086">
        <v>2018</v>
      </c>
      <c r="B1086" t="s">
        <v>56</v>
      </c>
      <c r="C1086" t="s">
        <v>35</v>
      </c>
      <c r="D1086" s="2">
        <v>1768</v>
      </c>
      <c r="E1086" s="2">
        <v>27145</v>
      </c>
      <c r="F1086" s="3">
        <v>53139</v>
      </c>
    </row>
    <row r="1087" spans="1:6" x14ac:dyDescent="0.3">
      <c r="A1087">
        <v>2018</v>
      </c>
      <c r="B1087" t="s">
        <v>56</v>
      </c>
      <c r="C1087" t="s">
        <v>36</v>
      </c>
      <c r="D1087" s="2">
        <v>16910</v>
      </c>
      <c r="E1087" s="2">
        <v>441590</v>
      </c>
      <c r="F1087" s="3">
        <v>67614</v>
      </c>
    </row>
    <row r="1088" spans="1:6" x14ac:dyDescent="0.3">
      <c r="A1088">
        <v>2018</v>
      </c>
      <c r="B1088" t="s">
        <v>56</v>
      </c>
      <c r="C1088" t="s">
        <v>37</v>
      </c>
      <c r="D1088" s="2">
        <v>10219</v>
      </c>
      <c r="E1088" s="2">
        <v>474932</v>
      </c>
      <c r="F1088" s="3">
        <v>59827</v>
      </c>
    </row>
    <row r="1089" spans="1:6" x14ac:dyDescent="0.3">
      <c r="A1089">
        <v>2018</v>
      </c>
      <c r="B1089" t="s">
        <v>56</v>
      </c>
      <c r="C1089" t="s">
        <v>38</v>
      </c>
      <c r="D1089">
        <v>807</v>
      </c>
      <c r="E1089" s="2">
        <v>25906</v>
      </c>
      <c r="F1089" s="3">
        <v>53882</v>
      </c>
    </row>
    <row r="1090" spans="1:6" x14ac:dyDescent="0.3">
      <c r="A1090">
        <v>2018</v>
      </c>
      <c r="B1090" t="s">
        <v>56</v>
      </c>
      <c r="C1090" t="s">
        <v>39</v>
      </c>
      <c r="D1090" s="2">
        <v>15409</v>
      </c>
      <c r="E1090" s="2">
        <v>698950</v>
      </c>
      <c r="F1090" s="3">
        <v>61487</v>
      </c>
    </row>
    <row r="1091" spans="1:6" x14ac:dyDescent="0.3">
      <c r="A1091">
        <v>2018</v>
      </c>
      <c r="B1091" t="s">
        <v>56</v>
      </c>
      <c r="C1091" t="s">
        <v>40</v>
      </c>
      <c r="D1091" s="2">
        <v>4164</v>
      </c>
      <c r="E1091" s="2">
        <v>137739</v>
      </c>
      <c r="F1091" s="3">
        <v>58770</v>
      </c>
    </row>
    <row r="1092" spans="1:6" x14ac:dyDescent="0.3">
      <c r="A1092">
        <v>2018</v>
      </c>
      <c r="B1092" t="s">
        <v>56</v>
      </c>
      <c r="C1092" t="s">
        <v>41</v>
      </c>
      <c r="D1092" s="2">
        <v>6240</v>
      </c>
      <c r="E1092" s="2">
        <v>194693</v>
      </c>
      <c r="F1092" s="3">
        <v>70641</v>
      </c>
    </row>
    <row r="1093" spans="1:6" x14ac:dyDescent="0.3">
      <c r="A1093">
        <v>2018</v>
      </c>
      <c r="B1093" t="s">
        <v>56</v>
      </c>
      <c r="C1093" t="s">
        <v>42</v>
      </c>
      <c r="D1093" s="2">
        <v>14407</v>
      </c>
      <c r="E1093" s="2">
        <v>569811</v>
      </c>
      <c r="F1093" s="3">
        <v>62561</v>
      </c>
    </row>
    <row r="1094" spans="1:6" x14ac:dyDescent="0.3">
      <c r="A1094">
        <v>2018</v>
      </c>
      <c r="B1094" t="s">
        <v>56</v>
      </c>
      <c r="C1094" t="s">
        <v>43</v>
      </c>
      <c r="D1094" s="2">
        <v>1572</v>
      </c>
      <c r="E1094" s="2">
        <v>40340</v>
      </c>
      <c r="F1094" s="3">
        <v>58468</v>
      </c>
    </row>
    <row r="1095" spans="1:6" x14ac:dyDescent="0.3">
      <c r="A1095">
        <v>2018</v>
      </c>
      <c r="B1095" t="s">
        <v>56</v>
      </c>
      <c r="C1095" t="s">
        <v>44</v>
      </c>
      <c r="D1095" s="2">
        <v>6087</v>
      </c>
      <c r="E1095" s="2">
        <v>249719</v>
      </c>
      <c r="F1095" s="3">
        <v>59522</v>
      </c>
    </row>
    <row r="1096" spans="1:6" x14ac:dyDescent="0.3">
      <c r="A1096">
        <v>2018</v>
      </c>
      <c r="B1096" t="s">
        <v>56</v>
      </c>
      <c r="C1096" t="s">
        <v>45</v>
      </c>
      <c r="D1096" s="2">
        <v>1084</v>
      </c>
      <c r="E1096" s="2">
        <v>44442</v>
      </c>
      <c r="F1096" s="3">
        <v>49320</v>
      </c>
    </row>
    <row r="1097" spans="1:6" x14ac:dyDescent="0.3">
      <c r="A1097">
        <v>2018</v>
      </c>
      <c r="B1097" t="s">
        <v>56</v>
      </c>
      <c r="C1097" t="s">
        <v>46</v>
      </c>
      <c r="D1097" s="2">
        <v>7051</v>
      </c>
      <c r="E1097" s="2">
        <v>351073</v>
      </c>
      <c r="F1097" s="3">
        <v>59495</v>
      </c>
    </row>
    <row r="1098" spans="1:6" x14ac:dyDescent="0.3">
      <c r="A1098">
        <v>2018</v>
      </c>
      <c r="B1098" t="s">
        <v>56</v>
      </c>
      <c r="C1098" t="s">
        <v>47</v>
      </c>
      <c r="D1098" s="2">
        <v>24758</v>
      </c>
      <c r="E1098" s="2">
        <v>879509</v>
      </c>
      <c r="F1098" s="3">
        <v>77648</v>
      </c>
    </row>
    <row r="1099" spans="1:6" x14ac:dyDescent="0.3">
      <c r="A1099">
        <v>2018</v>
      </c>
      <c r="B1099" t="s">
        <v>56</v>
      </c>
      <c r="C1099" t="s">
        <v>48</v>
      </c>
      <c r="D1099" s="2">
        <v>4386</v>
      </c>
      <c r="E1099" s="2">
        <v>132149</v>
      </c>
      <c r="F1099" s="3">
        <v>58006</v>
      </c>
    </row>
    <row r="1100" spans="1:6" x14ac:dyDescent="0.3">
      <c r="A1100">
        <v>2018</v>
      </c>
      <c r="B1100" t="s">
        <v>56</v>
      </c>
      <c r="C1100" t="s">
        <v>49</v>
      </c>
      <c r="D1100" s="2">
        <v>1108</v>
      </c>
      <c r="E1100" s="2">
        <v>29827</v>
      </c>
      <c r="F1100" s="3">
        <v>59390</v>
      </c>
    </row>
    <row r="1101" spans="1:6" x14ac:dyDescent="0.3">
      <c r="A1101">
        <v>2018</v>
      </c>
      <c r="B1101" t="s">
        <v>56</v>
      </c>
      <c r="C1101" t="s">
        <v>50</v>
      </c>
      <c r="D1101" s="2">
        <v>6750</v>
      </c>
      <c r="E1101" s="2">
        <v>238645</v>
      </c>
      <c r="F1101" s="3">
        <v>59974</v>
      </c>
    </row>
    <row r="1102" spans="1:6" x14ac:dyDescent="0.3">
      <c r="A1102">
        <v>2018</v>
      </c>
      <c r="B1102" t="s">
        <v>56</v>
      </c>
      <c r="C1102" t="s">
        <v>51</v>
      </c>
      <c r="D1102" s="2">
        <v>7798</v>
      </c>
      <c r="E1102" s="2">
        <v>284112</v>
      </c>
      <c r="F1102" s="3">
        <v>79321</v>
      </c>
    </row>
    <row r="1103" spans="1:6" x14ac:dyDescent="0.3">
      <c r="A1103">
        <v>2018</v>
      </c>
      <c r="B1103" t="s">
        <v>56</v>
      </c>
      <c r="C1103" t="s">
        <v>52</v>
      </c>
      <c r="D1103" s="2">
        <v>1268</v>
      </c>
      <c r="E1103" s="2">
        <v>46952</v>
      </c>
      <c r="F1103" s="3">
        <v>60459</v>
      </c>
    </row>
    <row r="1104" spans="1:6" x14ac:dyDescent="0.3">
      <c r="A1104">
        <v>2018</v>
      </c>
      <c r="B1104" t="s">
        <v>56</v>
      </c>
      <c r="C1104" t="s">
        <v>53</v>
      </c>
      <c r="D1104" s="2">
        <v>9432</v>
      </c>
      <c r="E1104" s="2">
        <v>475510</v>
      </c>
      <c r="F1104" s="3">
        <v>58047</v>
      </c>
    </row>
    <row r="1105" spans="1:6" x14ac:dyDescent="0.3">
      <c r="A1105">
        <v>2018</v>
      </c>
      <c r="B1105" t="s">
        <v>56</v>
      </c>
      <c r="C1105" t="s">
        <v>54</v>
      </c>
      <c r="D1105">
        <v>600</v>
      </c>
      <c r="E1105" s="2">
        <v>9721</v>
      </c>
      <c r="F1105" s="3">
        <v>67060</v>
      </c>
    </row>
    <row r="1106" spans="1:6" x14ac:dyDescent="0.3">
      <c r="A1106">
        <v>2018</v>
      </c>
      <c r="B1106" t="s">
        <v>57</v>
      </c>
      <c r="C1106" t="s">
        <v>7</v>
      </c>
      <c r="D1106" s="2">
        <v>32481</v>
      </c>
      <c r="E1106" s="2">
        <v>377561</v>
      </c>
      <c r="F1106" s="3">
        <v>41970</v>
      </c>
    </row>
    <row r="1107" spans="1:6" x14ac:dyDescent="0.3">
      <c r="A1107">
        <v>2018</v>
      </c>
      <c r="B1107" t="s">
        <v>57</v>
      </c>
      <c r="C1107" t="s">
        <v>8</v>
      </c>
      <c r="D1107" s="2">
        <v>31775</v>
      </c>
      <c r="E1107" s="2">
        <v>532318</v>
      </c>
      <c r="F1107" s="3">
        <v>46734</v>
      </c>
    </row>
    <row r="1108" spans="1:6" x14ac:dyDescent="0.3">
      <c r="A1108">
        <v>2018</v>
      </c>
      <c r="B1108" t="s">
        <v>57</v>
      </c>
      <c r="C1108" t="s">
        <v>9</v>
      </c>
      <c r="D1108" s="2">
        <v>21642</v>
      </c>
      <c r="E1108" s="2">
        <v>248584</v>
      </c>
      <c r="F1108" s="3">
        <v>41450</v>
      </c>
    </row>
    <row r="1109" spans="1:6" x14ac:dyDescent="0.3">
      <c r="A1109">
        <v>2018</v>
      </c>
      <c r="B1109" t="s">
        <v>57</v>
      </c>
      <c r="C1109" t="s">
        <v>10</v>
      </c>
      <c r="D1109" s="2">
        <v>196511</v>
      </c>
      <c r="E1109" s="2">
        <v>3033009</v>
      </c>
      <c r="F1109" s="3">
        <v>52020</v>
      </c>
    </row>
    <row r="1110" spans="1:6" x14ac:dyDescent="0.3">
      <c r="A1110">
        <v>2018</v>
      </c>
      <c r="B1110" t="s">
        <v>57</v>
      </c>
      <c r="C1110" t="s">
        <v>11</v>
      </c>
      <c r="D1110" s="2">
        <v>35891</v>
      </c>
      <c r="E1110" s="2">
        <v>466602</v>
      </c>
      <c r="F1110" s="3">
        <v>50043</v>
      </c>
    </row>
    <row r="1111" spans="1:6" x14ac:dyDescent="0.3">
      <c r="A1111">
        <v>2018</v>
      </c>
      <c r="B1111" t="s">
        <v>57</v>
      </c>
      <c r="C1111" t="s">
        <v>12</v>
      </c>
      <c r="D1111" s="2">
        <v>24902</v>
      </c>
      <c r="E1111" s="2">
        <v>296173</v>
      </c>
      <c r="F1111" s="3">
        <v>51041</v>
      </c>
    </row>
    <row r="1112" spans="1:6" x14ac:dyDescent="0.3">
      <c r="A1112">
        <v>2018</v>
      </c>
      <c r="B1112" t="s">
        <v>57</v>
      </c>
      <c r="C1112" t="s">
        <v>13</v>
      </c>
      <c r="D1112" s="2">
        <v>6850</v>
      </c>
      <c r="E1112" s="2">
        <v>79300</v>
      </c>
      <c r="F1112" s="3">
        <v>40843</v>
      </c>
    </row>
    <row r="1113" spans="1:6" x14ac:dyDescent="0.3">
      <c r="A1113">
        <v>2018</v>
      </c>
      <c r="B1113" t="s">
        <v>57</v>
      </c>
      <c r="C1113" t="s">
        <v>14</v>
      </c>
      <c r="D1113" s="2">
        <v>139486</v>
      </c>
      <c r="E1113" s="2">
        <v>1772605</v>
      </c>
      <c r="F1113" s="3">
        <v>44766</v>
      </c>
    </row>
    <row r="1114" spans="1:6" x14ac:dyDescent="0.3">
      <c r="A1114">
        <v>2018</v>
      </c>
      <c r="B1114" t="s">
        <v>57</v>
      </c>
      <c r="C1114" t="s">
        <v>15</v>
      </c>
      <c r="D1114" s="2">
        <v>60996</v>
      </c>
      <c r="E1114" s="2">
        <v>934259</v>
      </c>
      <c r="F1114" s="3">
        <v>49352</v>
      </c>
    </row>
    <row r="1115" spans="1:6" x14ac:dyDescent="0.3">
      <c r="A1115">
        <v>2018</v>
      </c>
      <c r="B1115" t="s">
        <v>57</v>
      </c>
      <c r="C1115" t="s">
        <v>16</v>
      </c>
      <c r="D1115" s="2">
        <v>11969</v>
      </c>
      <c r="E1115" s="2">
        <v>139473</v>
      </c>
      <c r="F1115" s="3">
        <v>39972</v>
      </c>
    </row>
    <row r="1116" spans="1:6" x14ac:dyDescent="0.3">
      <c r="A1116">
        <v>2018</v>
      </c>
      <c r="B1116" t="s">
        <v>57</v>
      </c>
      <c r="C1116" t="s">
        <v>17</v>
      </c>
      <c r="D1116" s="2">
        <v>78063</v>
      </c>
      <c r="E1116" s="2">
        <v>1192654</v>
      </c>
      <c r="F1116" s="3">
        <v>51570</v>
      </c>
    </row>
    <row r="1117" spans="1:6" x14ac:dyDescent="0.3">
      <c r="A1117">
        <v>2018</v>
      </c>
      <c r="B1117" t="s">
        <v>57</v>
      </c>
      <c r="C1117" t="s">
        <v>18</v>
      </c>
      <c r="D1117" s="2">
        <v>40681</v>
      </c>
      <c r="E1117" s="2">
        <v>591234</v>
      </c>
      <c r="F1117" s="3">
        <v>42092</v>
      </c>
    </row>
    <row r="1118" spans="1:6" x14ac:dyDescent="0.3">
      <c r="A1118">
        <v>2018</v>
      </c>
      <c r="B1118" t="s">
        <v>57</v>
      </c>
      <c r="C1118" t="s">
        <v>19</v>
      </c>
      <c r="D1118" s="2">
        <v>23521</v>
      </c>
      <c r="E1118" s="2">
        <v>309603</v>
      </c>
      <c r="F1118" s="3">
        <v>40539</v>
      </c>
    </row>
    <row r="1119" spans="1:6" x14ac:dyDescent="0.3">
      <c r="A1119">
        <v>2018</v>
      </c>
      <c r="B1119" t="s">
        <v>57</v>
      </c>
      <c r="C1119" t="s">
        <v>20</v>
      </c>
      <c r="D1119" s="2">
        <v>20370</v>
      </c>
      <c r="E1119" s="2">
        <v>263858</v>
      </c>
      <c r="F1119" s="3">
        <v>42235</v>
      </c>
    </row>
    <row r="1120" spans="1:6" x14ac:dyDescent="0.3">
      <c r="A1120">
        <v>2018</v>
      </c>
      <c r="B1120" t="s">
        <v>57</v>
      </c>
      <c r="C1120" t="s">
        <v>21</v>
      </c>
      <c r="D1120" s="2">
        <v>28056</v>
      </c>
      <c r="E1120" s="2">
        <v>399946</v>
      </c>
      <c r="F1120" s="3">
        <v>42623</v>
      </c>
    </row>
    <row r="1121" spans="1:6" x14ac:dyDescent="0.3">
      <c r="A1121">
        <v>2018</v>
      </c>
      <c r="B1121" t="s">
        <v>57</v>
      </c>
      <c r="C1121" t="s">
        <v>22</v>
      </c>
      <c r="D1121" s="2">
        <v>30545</v>
      </c>
      <c r="E1121" s="2">
        <v>377555</v>
      </c>
      <c r="F1121" s="3">
        <v>42196</v>
      </c>
    </row>
    <row r="1122" spans="1:6" x14ac:dyDescent="0.3">
      <c r="A1122">
        <v>2018</v>
      </c>
      <c r="B1122" t="s">
        <v>57</v>
      </c>
      <c r="C1122" t="s">
        <v>23</v>
      </c>
      <c r="D1122" s="2">
        <v>10761</v>
      </c>
      <c r="E1122" s="2">
        <v>118191</v>
      </c>
      <c r="F1122" s="3">
        <v>37589</v>
      </c>
    </row>
    <row r="1123" spans="1:6" x14ac:dyDescent="0.3">
      <c r="A1123">
        <v>2018</v>
      </c>
      <c r="B1123" t="s">
        <v>57</v>
      </c>
      <c r="C1123" t="s">
        <v>24</v>
      </c>
      <c r="D1123" s="2">
        <v>32767</v>
      </c>
      <c r="E1123" s="2">
        <v>462590</v>
      </c>
      <c r="F1123" s="3">
        <v>46648</v>
      </c>
    </row>
    <row r="1124" spans="1:6" x14ac:dyDescent="0.3">
      <c r="A1124">
        <v>2018</v>
      </c>
      <c r="B1124" t="s">
        <v>57</v>
      </c>
      <c r="C1124" t="s">
        <v>25</v>
      </c>
      <c r="D1124" s="2">
        <v>42171</v>
      </c>
      <c r="E1124" s="2">
        <v>577061</v>
      </c>
      <c r="F1124" s="3">
        <v>52937</v>
      </c>
    </row>
    <row r="1125" spans="1:6" x14ac:dyDescent="0.3">
      <c r="A1125">
        <v>2018</v>
      </c>
      <c r="B1125" t="s">
        <v>57</v>
      </c>
      <c r="C1125" t="s">
        <v>26</v>
      </c>
      <c r="D1125" s="2">
        <v>52459</v>
      </c>
      <c r="E1125" s="2">
        <v>786892</v>
      </c>
      <c r="F1125" s="3">
        <v>47200</v>
      </c>
    </row>
    <row r="1126" spans="1:6" x14ac:dyDescent="0.3">
      <c r="A1126">
        <v>2018</v>
      </c>
      <c r="B1126" t="s">
        <v>57</v>
      </c>
      <c r="C1126" t="s">
        <v>27</v>
      </c>
      <c r="D1126" s="2">
        <v>37272</v>
      </c>
      <c r="E1126" s="2">
        <v>531669</v>
      </c>
      <c r="F1126" s="3">
        <v>49570</v>
      </c>
    </row>
    <row r="1127" spans="1:6" x14ac:dyDescent="0.3">
      <c r="A1127">
        <v>2018</v>
      </c>
      <c r="B1127" t="s">
        <v>57</v>
      </c>
      <c r="C1127" t="s">
        <v>28</v>
      </c>
      <c r="D1127" s="2">
        <v>19763</v>
      </c>
      <c r="E1127" s="2">
        <v>229107</v>
      </c>
      <c r="F1127" s="3">
        <v>36497</v>
      </c>
    </row>
    <row r="1128" spans="1:6" x14ac:dyDescent="0.3">
      <c r="A1128">
        <v>2018</v>
      </c>
      <c r="B1128" t="s">
        <v>57</v>
      </c>
      <c r="C1128" t="s">
        <v>29</v>
      </c>
      <c r="D1128" s="2">
        <v>38808</v>
      </c>
      <c r="E1128" s="2">
        <v>537150</v>
      </c>
      <c r="F1128" s="3">
        <v>42469</v>
      </c>
    </row>
    <row r="1129" spans="1:6" x14ac:dyDescent="0.3">
      <c r="A1129">
        <v>2018</v>
      </c>
      <c r="B1129" t="s">
        <v>57</v>
      </c>
      <c r="C1129" t="s">
        <v>30</v>
      </c>
      <c r="D1129" s="2">
        <v>9250</v>
      </c>
      <c r="E1129" s="2">
        <v>91355</v>
      </c>
      <c r="F1129" s="3">
        <v>39170</v>
      </c>
    </row>
    <row r="1130" spans="1:6" x14ac:dyDescent="0.3">
      <c r="A1130">
        <v>2018</v>
      </c>
      <c r="B1130" t="s">
        <v>57</v>
      </c>
      <c r="C1130" t="s">
        <v>31</v>
      </c>
      <c r="D1130" s="2">
        <v>14923</v>
      </c>
      <c r="E1130" s="2">
        <v>189793</v>
      </c>
      <c r="F1130" s="3">
        <v>39891</v>
      </c>
    </row>
    <row r="1131" spans="1:6" x14ac:dyDescent="0.3">
      <c r="A1131">
        <v>2018</v>
      </c>
      <c r="B1131" t="s">
        <v>57</v>
      </c>
      <c r="C1131" t="s">
        <v>32</v>
      </c>
      <c r="D1131" s="2">
        <v>15829</v>
      </c>
      <c r="E1131" s="2">
        <v>254417</v>
      </c>
      <c r="F1131" s="3">
        <v>44190</v>
      </c>
    </row>
    <row r="1132" spans="1:6" x14ac:dyDescent="0.3">
      <c r="A1132">
        <v>2018</v>
      </c>
      <c r="B1132" t="s">
        <v>57</v>
      </c>
      <c r="C1132" t="s">
        <v>33</v>
      </c>
      <c r="D1132" s="2">
        <v>12509</v>
      </c>
      <c r="E1132" s="2">
        <v>139183</v>
      </c>
      <c r="F1132" s="3">
        <v>47777</v>
      </c>
    </row>
    <row r="1133" spans="1:6" x14ac:dyDescent="0.3">
      <c r="A1133">
        <v>2018</v>
      </c>
      <c r="B1133" t="s">
        <v>57</v>
      </c>
      <c r="C1133" t="s">
        <v>34</v>
      </c>
      <c r="D1133" s="2">
        <v>54238</v>
      </c>
      <c r="E1133" s="2">
        <v>876344</v>
      </c>
      <c r="F1133" s="3">
        <v>53723</v>
      </c>
    </row>
    <row r="1134" spans="1:6" x14ac:dyDescent="0.3">
      <c r="A1134">
        <v>2018</v>
      </c>
      <c r="B1134" t="s">
        <v>57</v>
      </c>
      <c r="C1134" t="s">
        <v>35</v>
      </c>
      <c r="D1134" s="2">
        <v>10758</v>
      </c>
      <c r="E1134" s="2">
        <v>135970</v>
      </c>
      <c r="F1134" s="3">
        <v>38078</v>
      </c>
    </row>
    <row r="1135" spans="1:6" x14ac:dyDescent="0.3">
      <c r="A1135">
        <v>2018</v>
      </c>
      <c r="B1135" t="s">
        <v>57</v>
      </c>
      <c r="C1135" t="s">
        <v>36</v>
      </c>
      <c r="D1135" s="2">
        <v>123741</v>
      </c>
      <c r="E1135" s="2">
        <v>1554768</v>
      </c>
      <c r="F1135" s="3">
        <v>51832</v>
      </c>
    </row>
    <row r="1136" spans="1:6" x14ac:dyDescent="0.3">
      <c r="A1136">
        <v>2018</v>
      </c>
      <c r="B1136" t="s">
        <v>57</v>
      </c>
      <c r="C1136" t="s">
        <v>37</v>
      </c>
      <c r="D1136" s="2">
        <v>61525</v>
      </c>
      <c r="E1136" s="2">
        <v>830550</v>
      </c>
      <c r="F1136" s="3">
        <v>43092</v>
      </c>
    </row>
    <row r="1137" spans="1:6" x14ac:dyDescent="0.3">
      <c r="A1137">
        <v>2018</v>
      </c>
      <c r="B1137" t="s">
        <v>57</v>
      </c>
      <c r="C1137" t="s">
        <v>38</v>
      </c>
      <c r="D1137" s="2">
        <v>7753</v>
      </c>
      <c r="E1137" s="2">
        <v>91635</v>
      </c>
      <c r="F1137" s="3">
        <v>49819</v>
      </c>
    </row>
    <row r="1138" spans="1:6" x14ac:dyDescent="0.3">
      <c r="A1138">
        <v>2018</v>
      </c>
      <c r="B1138" t="s">
        <v>57</v>
      </c>
      <c r="C1138" t="s">
        <v>39</v>
      </c>
      <c r="D1138" s="2">
        <v>68615</v>
      </c>
      <c r="E1138" s="2">
        <v>1017249</v>
      </c>
      <c r="F1138" s="3">
        <v>44247</v>
      </c>
    </row>
    <row r="1139" spans="1:6" x14ac:dyDescent="0.3">
      <c r="A1139">
        <v>2018</v>
      </c>
      <c r="B1139" t="s">
        <v>57</v>
      </c>
      <c r="C1139" t="s">
        <v>40</v>
      </c>
      <c r="D1139" s="2">
        <v>23748</v>
      </c>
      <c r="E1139" s="2">
        <v>297631</v>
      </c>
      <c r="F1139" s="3">
        <v>41554</v>
      </c>
    </row>
    <row r="1140" spans="1:6" x14ac:dyDescent="0.3">
      <c r="A1140">
        <v>2018</v>
      </c>
      <c r="B1140" t="s">
        <v>57</v>
      </c>
      <c r="C1140" t="s">
        <v>41</v>
      </c>
      <c r="D1140" s="2">
        <v>26503</v>
      </c>
      <c r="E1140" s="2">
        <v>349656</v>
      </c>
      <c r="F1140" s="3">
        <v>44347</v>
      </c>
    </row>
    <row r="1141" spans="1:6" x14ac:dyDescent="0.3">
      <c r="A1141">
        <v>2018</v>
      </c>
      <c r="B1141" t="s">
        <v>57</v>
      </c>
      <c r="C1141" t="s">
        <v>42</v>
      </c>
      <c r="D1141" s="2">
        <v>74845</v>
      </c>
      <c r="E1141" s="2">
        <v>1117054</v>
      </c>
      <c r="F1141" s="3">
        <v>45000</v>
      </c>
    </row>
    <row r="1142" spans="1:6" x14ac:dyDescent="0.3">
      <c r="A1142">
        <v>2018</v>
      </c>
      <c r="B1142" t="s">
        <v>57</v>
      </c>
      <c r="C1142" t="s">
        <v>43</v>
      </c>
      <c r="D1142" s="2">
        <v>7658</v>
      </c>
      <c r="E1142" s="2">
        <v>76762</v>
      </c>
      <c r="F1142" s="3">
        <v>43902</v>
      </c>
    </row>
    <row r="1143" spans="1:6" x14ac:dyDescent="0.3">
      <c r="A1143">
        <v>2018</v>
      </c>
      <c r="B1143" t="s">
        <v>57</v>
      </c>
      <c r="C1143" t="s">
        <v>44</v>
      </c>
      <c r="D1143" s="2">
        <v>30013</v>
      </c>
      <c r="E1143" s="2">
        <v>402308</v>
      </c>
      <c r="F1143" s="3">
        <v>39429</v>
      </c>
    </row>
    <row r="1144" spans="1:6" x14ac:dyDescent="0.3">
      <c r="A1144">
        <v>2018</v>
      </c>
      <c r="B1144" t="s">
        <v>57</v>
      </c>
      <c r="C1144" t="s">
        <v>45</v>
      </c>
      <c r="D1144" s="2">
        <v>8059</v>
      </c>
      <c r="E1144" s="2">
        <v>85734</v>
      </c>
      <c r="F1144" s="3">
        <v>39650</v>
      </c>
    </row>
    <row r="1145" spans="1:6" x14ac:dyDescent="0.3">
      <c r="A1145">
        <v>2018</v>
      </c>
      <c r="B1145" t="s">
        <v>57</v>
      </c>
      <c r="C1145" t="s">
        <v>46</v>
      </c>
      <c r="D1145" s="2">
        <v>40040</v>
      </c>
      <c r="E1145" s="2">
        <v>623566</v>
      </c>
      <c r="F1145" s="3">
        <v>46137</v>
      </c>
    </row>
    <row r="1146" spans="1:6" x14ac:dyDescent="0.3">
      <c r="A1146">
        <v>2018</v>
      </c>
      <c r="B1146" t="s">
        <v>57</v>
      </c>
      <c r="C1146" t="s">
        <v>47</v>
      </c>
      <c r="D1146" s="2">
        <v>147447</v>
      </c>
      <c r="E1146" s="2">
        <v>2465009</v>
      </c>
      <c r="F1146" s="3">
        <v>52337</v>
      </c>
    </row>
    <row r="1147" spans="1:6" x14ac:dyDescent="0.3">
      <c r="A1147">
        <v>2018</v>
      </c>
      <c r="B1147" t="s">
        <v>57</v>
      </c>
      <c r="C1147" t="s">
        <v>48</v>
      </c>
      <c r="D1147" s="2">
        <v>19531</v>
      </c>
      <c r="E1147" s="2">
        <v>284283</v>
      </c>
      <c r="F1147" s="3">
        <v>44163</v>
      </c>
    </row>
    <row r="1148" spans="1:6" x14ac:dyDescent="0.3">
      <c r="A1148">
        <v>2018</v>
      </c>
      <c r="B1148" t="s">
        <v>57</v>
      </c>
      <c r="C1148" t="s">
        <v>49</v>
      </c>
      <c r="D1148" s="2">
        <v>5084</v>
      </c>
      <c r="E1148" s="2">
        <v>54476</v>
      </c>
      <c r="F1148" s="3">
        <v>40351</v>
      </c>
    </row>
    <row r="1149" spans="1:6" x14ac:dyDescent="0.3">
      <c r="A1149">
        <v>2018</v>
      </c>
      <c r="B1149" t="s">
        <v>57</v>
      </c>
      <c r="C1149" t="s">
        <v>50</v>
      </c>
      <c r="D1149" s="2">
        <v>43180</v>
      </c>
      <c r="E1149" s="2">
        <v>650233</v>
      </c>
      <c r="F1149" s="3">
        <v>43886</v>
      </c>
    </row>
    <row r="1150" spans="1:6" x14ac:dyDescent="0.3">
      <c r="A1150">
        <v>2018</v>
      </c>
      <c r="B1150" t="s">
        <v>57</v>
      </c>
      <c r="C1150" t="s">
        <v>51</v>
      </c>
      <c r="D1150" s="2">
        <v>39324</v>
      </c>
      <c r="E1150" s="2">
        <v>621384</v>
      </c>
      <c r="F1150" s="3">
        <v>63994</v>
      </c>
    </row>
    <row r="1151" spans="1:6" x14ac:dyDescent="0.3">
      <c r="A1151">
        <v>2018</v>
      </c>
      <c r="B1151" t="s">
        <v>57</v>
      </c>
      <c r="C1151" t="s">
        <v>52</v>
      </c>
      <c r="D1151" s="2">
        <v>10925</v>
      </c>
      <c r="E1151" s="2">
        <v>128211</v>
      </c>
      <c r="F1151" s="3">
        <v>38698</v>
      </c>
    </row>
    <row r="1152" spans="1:6" x14ac:dyDescent="0.3">
      <c r="A1152">
        <v>2018</v>
      </c>
      <c r="B1152" t="s">
        <v>57</v>
      </c>
      <c r="C1152" t="s">
        <v>53</v>
      </c>
      <c r="D1152" s="2">
        <v>36496</v>
      </c>
      <c r="E1152" s="2">
        <v>541333</v>
      </c>
      <c r="F1152" s="3">
        <v>41512</v>
      </c>
    </row>
    <row r="1153" spans="1:6" x14ac:dyDescent="0.3">
      <c r="A1153">
        <v>2018</v>
      </c>
      <c r="B1153" t="s">
        <v>57</v>
      </c>
      <c r="C1153" t="s">
        <v>54</v>
      </c>
      <c r="D1153" s="2">
        <v>4830</v>
      </c>
      <c r="E1153" s="2">
        <v>49819</v>
      </c>
      <c r="F1153" s="3">
        <v>42737</v>
      </c>
    </row>
    <row r="1154" spans="1:6" x14ac:dyDescent="0.3">
      <c r="A1154">
        <v>2018</v>
      </c>
      <c r="B1154" t="s">
        <v>58</v>
      </c>
      <c r="C1154" t="s">
        <v>7</v>
      </c>
      <c r="D1154" s="2">
        <v>2168</v>
      </c>
      <c r="E1154" s="2">
        <v>21030</v>
      </c>
      <c r="F1154" s="3">
        <v>60025</v>
      </c>
    </row>
    <row r="1155" spans="1:6" x14ac:dyDescent="0.3">
      <c r="A1155">
        <v>2018</v>
      </c>
      <c r="B1155" t="s">
        <v>58</v>
      </c>
      <c r="C1155" t="s">
        <v>8</v>
      </c>
      <c r="D1155" s="2">
        <v>3113</v>
      </c>
      <c r="E1155" s="2">
        <v>47340</v>
      </c>
      <c r="F1155" s="3">
        <v>75499</v>
      </c>
    </row>
    <row r="1156" spans="1:6" x14ac:dyDescent="0.3">
      <c r="A1156">
        <v>2018</v>
      </c>
      <c r="B1156" t="s">
        <v>58</v>
      </c>
      <c r="C1156" t="s">
        <v>9</v>
      </c>
      <c r="D1156" s="2">
        <v>1210</v>
      </c>
      <c r="E1156" s="2">
        <v>10913</v>
      </c>
      <c r="F1156" s="3">
        <v>53828</v>
      </c>
    </row>
    <row r="1157" spans="1:6" x14ac:dyDescent="0.3">
      <c r="A1157">
        <v>2018</v>
      </c>
      <c r="B1157" t="s">
        <v>58</v>
      </c>
      <c r="C1157" t="s">
        <v>10</v>
      </c>
      <c r="D1157" s="2">
        <v>26592</v>
      </c>
      <c r="E1157" s="2">
        <v>525771</v>
      </c>
      <c r="F1157" s="3">
        <v>188173</v>
      </c>
    </row>
    <row r="1158" spans="1:6" x14ac:dyDescent="0.3">
      <c r="A1158">
        <v>2018</v>
      </c>
      <c r="B1158" t="s">
        <v>58</v>
      </c>
      <c r="C1158" t="s">
        <v>11</v>
      </c>
      <c r="D1158" s="2">
        <v>4173</v>
      </c>
      <c r="E1158" s="2">
        <v>75076</v>
      </c>
      <c r="F1158" s="3">
        <v>100735</v>
      </c>
    </row>
    <row r="1159" spans="1:6" x14ac:dyDescent="0.3">
      <c r="A1159">
        <v>2018</v>
      </c>
      <c r="B1159" t="s">
        <v>58</v>
      </c>
      <c r="C1159" t="s">
        <v>12</v>
      </c>
      <c r="D1159" s="2">
        <v>2306</v>
      </c>
      <c r="E1159" s="2">
        <v>31734</v>
      </c>
      <c r="F1159" s="3">
        <v>110642</v>
      </c>
    </row>
    <row r="1160" spans="1:6" x14ac:dyDescent="0.3">
      <c r="A1160">
        <v>2018</v>
      </c>
      <c r="B1160" t="s">
        <v>58</v>
      </c>
      <c r="C1160" t="s">
        <v>13</v>
      </c>
      <c r="D1160">
        <v>433</v>
      </c>
      <c r="E1160" s="2">
        <v>4065</v>
      </c>
      <c r="F1160" s="3">
        <v>65782</v>
      </c>
    </row>
    <row r="1161" spans="1:6" x14ac:dyDescent="0.3">
      <c r="A1161">
        <v>2018</v>
      </c>
      <c r="B1161" t="s">
        <v>58</v>
      </c>
      <c r="C1161" t="s">
        <v>14</v>
      </c>
      <c r="D1161" s="2">
        <v>11205</v>
      </c>
      <c r="E1161" s="2">
        <v>138995</v>
      </c>
      <c r="F1161" s="3">
        <v>81168</v>
      </c>
    </row>
    <row r="1162" spans="1:6" x14ac:dyDescent="0.3">
      <c r="A1162">
        <v>2018</v>
      </c>
      <c r="B1162" t="s">
        <v>58</v>
      </c>
      <c r="C1162" t="s">
        <v>15</v>
      </c>
      <c r="D1162" s="2">
        <v>5113</v>
      </c>
      <c r="E1162" s="2">
        <v>114231</v>
      </c>
      <c r="F1162" s="3">
        <v>96613</v>
      </c>
    </row>
    <row r="1163" spans="1:6" x14ac:dyDescent="0.3">
      <c r="A1163">
        <v>2018</v>
      </c>
      <c r="B1163" t="s">
        <v>58</v>
      </c>
      <c r="C1163" t="s">
        <v>16</v>
      </c>
      <c r="D1163" s="2">
        <v>1223</v>
      </c>
      <c r="E1163" s="2">
        <v>8798</v>
      </c>
      <c r="F1163" s="3">
        <v>52761</v>
      </c>
    </row>
    <row r="1164" spans="1:6" x14ac:dyDescent="0.3">
      <c r="A1164">
        <v>2018</v>
      </c>
      <c r="B1164" t="s">
        <v>58</v>
      </c>
      <c r="C1164" t="s">
        <v>17</v>
      </c>
      <c r="D1164" s="2">
        <v>6688</v>
      </c>
      <c r="E1164" s="2">
        <v>94330</v>
      </c>
      <c r="F1164" s="3">
        <v>91164</v>
      </c>
    </row>
    <row r="1165" spans="1:6" x14ac:dyDescent="0.3">
      <c r="A1165">
        <v>2018</v>
      </c>
      <c r="B1165" t="s">
        <v>58</v>
      </c>
      <c r="C1165" t="s">
        <v>18</v>
      </c>
      <c r="D1165" s="2">
        <v>2123</v>
      </c>
      <c r="E1165" s="2">
        <v>29375</v>
      </c>
      <c r="F1165" s="3">
        <v>60371</v>
      </c>
    </row>
    <row r="1166" spans="1:6" x14ac:dyDescent="0.3">
      <c r="A1166">
        <v>2018</v>
      </c>
      <c r="B1166" t="s">
        <v>58</v>
      </c>
      <c r="C1166" t="s">
        <v>19</v>
      </c>
      <c r="D1166" s="2">
        <v>1742</v>
      </c>
      <c r="E1166" s="2">
        <v>22018</v>
      </c>
      <c r="F1166" s="3">
        <v>58519</v>
      </c>
    </row>
    <row r="1167" spans="1:6" x14ac:dyDescent="0.3">
      <c r="A1167">
        <v>2018</v>
      </c>
      <c r="B1167" t="s">
        <v>58</v>
      </c>
      <c r="C1167" t="s">
        <v>20</v>
      </c>
      <c r="D1167" s="2">
        <v>1308</v>
      </c>
      <c r="E1167" s="2">
        <v>18664</v>
      </c>
      <c r="F1167" s="3">
        <v>63399</v>
      </c>
    </row>
    <row r="1168" spans="1:6" x14ac:dyDescent="0.3">
      <c r="A1168">
        <v>2018</v>
      </c>
      <c r="B1168" t="s">
        <v>58</v>
      </c>
      <c r="C1168" t="s">
        <v>21</v>
      </c>
      <c r="D1168" s="2">
        <v>1785</v>
      </c>
      <c r="E1168" s="2">
        <v>21989</v>
      </c>
      <c r="F1168" s="3">
        <v>54629</v>
      </c>
    </row>
    <row r="1169" spans="1:6" x14ac:dyDescent="0.3">
      <c r="A1169">
        <v>2018</v>
      </c>
      <c r="B1169" t="s">
        <v>58</v>
      </c>
      <c r="C1169" t="s">
        <v>22</v>
      </c>
      <c r="D1169" s="2">
        <v>1716</v>
      </c>
      <c r="E1169" s="2">
        <v>22869</v>
      </c>
      <c r="F1169" s="3">
        <v>58223</v>
      </c>
    </row>
    <row r="1170" spans="1:6" x14ac:dyDescent="0.3">
      <c r="A1170">
        <v>2018</v>
      </c>
      <c r="B1170" t="s">
        <v>58</v>
      </c>
      <c r="C1170" t="s">
        <v>23</v>
      </c>
      <c r="D1170">
        <v>849</v>
      </c>
      <c r="E1170" s="2">
        <v>7397</v>
      </c>
      <c r="F1170" s="3">
        <v>54502</v>
      </c>
    </row>
    <row r="1171" spans="1:6" x14ac:dyDescent="0.3">
      <c r="A1171">
        <v>2018</v>
      </c>
      <c r="B1171" t="s">
        <v>58</v>
      </c>
      <c r="C1171" t="s">
        <v>24</v>
      </c>
      <c r="D1171" s="2">
        <v>2737</v>
      </c>
      <c r="E1171" s="2">
        <v>36210</v>
      </c>
      <c r="F1171" s="3">
        <v>92844</v>
      </c>
    </row>
    <row r="1172" spans="1:6" x14ac:dyDescent="0.3">
      <c r="A1172">
        <v>2018</v>
      </c>
      <c r="B1172" t="s">
        <v>58</v>
      </c>
      <c r="C1172" t="s">
        <v>25</v>
      </c>
      <c r="D1172" s="2">
        <v>5379</v>
      </c>
      <c r="E1172" s="2">
        <v>91783</v>
      </c>
      <c r="F1172" s="3">
        <v>123118</v>
      </c>
    </row>
    <row r="1173" spans="1:6" x14ac:dyDescent="0.3">
      <c r="A1173">
        <v>2018</v>
      </c>
      <c r="B1173" t="s">
        <v>58</v>
      </c>
      <c r="C1173" t="s">
        <v>26</v>
      </c>
      <c r="D1173" s="2">
        <v>6287</v>
      </c>
      <c r="E1173" s="2">
        <v>56247</v>
      </c>
      <c r="F1173" s="3">
        <v>73556</v>
      </c>
    </row>
    <row r="1174" spans="1:6" x14ac:dyDescent="0.3">
      <c r="A1174">
        <v>2018</v>
      </c>
      <c r="B1174" t="s">
        <v>58</v>
      </c>
      <c r="C1174" t="s">
        <v>27</v>
      </c>
      <c r="D1174" s="2">
        <v>3977</v>
      </c>
      <c r="E1174" s="2">
        <v>49170</v>
      </c>
      <c r="F1174" s="3">
        <v>78903</v>
      </c>
    </row>
    <row r="1175" spans="1:6" x14ac:dyDescent="0.3">
      <c r="A1175">
        <v>2018</v>
      </c>
      <c r="B1175" t="s">
        <v>58</v>
      </c>
      <c r="C1175" t="s">
        <v>28</v>
      </c>
      <c r="D1175">
        <v>940</v>
      </c>
      <c r="E1175" s="2">
        <v>10980</v>
      </c>
      <c r="F1175" s="3">
        <v>49173</v>
      </c>
    </row>
    <row r="1176" spans="1:6" x14ac:dyDescent="0.3">
      <c r="A1176">
        <v>2018</v>
      </c>
      <c r="B1176" t="s">
        <v>58</v>
      </c>
      <c r="C1176" t="s">
        <v>29</v>
      </c>
      <c r="D1176" s="2">
        <v>3049</v>
      </c>
      <c r="E1176" s="2">
        <v>47666</v>
      </c>
      <c r="F1176" s="3">
        <v>81842</v>
      </c>
    </row>
    <row r="1177" spans="1:6" x14ac:dyDescent="0.3">
      <c r="A1177">
        <v>2018</v>
      </c>
      <c r="B1177" t="s">
        <v>58</v>
      </c>
      <c r="C1177" t="s">
        <v>30</v>
      </c>
      <c r="D1177">
        <v>801</v>
      </c>
      <c r="E1177" s="2">
        <v>6350</v>
      </c>
      <c r="F1177" s="3">
        <v>54475</v>
      </c>
    </row>
    <row r="1178" spans="1:6" x14ac:dyDescent="0.3">
      <c r="A1178">
        <v>2018</v>
      </c>
      <c r="B1178" t="s">
        <v>58</v>
      </c>
      <c r="C1178" t="s">
        <v>31</v>
      </c>
      <c r="D1178">
        <v>973</v>
      </c>
      <c r="E1178" s="2">
        <v>17653</v>
      </c>
      <c r="F1178" s="3">
        <v>64407</v>
      </c>
    </row>
    <row r="1179" spans="1:6" x14ac:dyDescent="0.3">
      <c r="A1179">
        <v>2018</v>
      </c>
      <c r="B1179" t="s">
        <v>58</v>
      </c>
      <c r="C1179" t="s">
        <v>32</v>
      </c>
      <c r="D1179" s="2">
        <v>1541</v>
      </c>
      <c r="E1179" s="2">
        <v>15646</v>
      </c>
      <c r="F1179" s="3">
        <v>70292</v>
      </c>
    </row>
    <row r="1180" spans="1:6" x14ac:dyDescent="0.3">
      <c r="A1180">
        <v>2018</v>
      </c>
      <c r="B1180" t="s">
        <v>58</v>
      </c>
      <c r="C1180" t="s">
        <v>33</v>
      </c>
      <c r="D1180">
        <v>892</v>
      </c>
      <c r="E1180" s="2">
        <v>12351</v>
      </c>
      <c r="F1180" s="3">
        <v>93599</v>
      </c>
    </row>
    <row r="1181" spans="1:6" x14ac:dyDescent="0.3">
      <c r="A1181">
        <v>2018</v>
      </c>
      <c r="B1181" t="s">
        <v>58</v>
      </c>
      <c r="C1181" t="s">
        <v>34</v>
      </c>
      <c r="D1181" s="2">
        <v>3722</v>
      </c>
      <c r="E1181" s="2">
        <v>69519</v>
      </c>
      <c r="F1181" s="3">
        <v>114630</v>
      </c>
    </row>
    <row r="1182" spans="1:6" x14ac:dyDescent="0.3">
      <c r="A1182">
        <v>2018</v>
      </c>
      <c r="B1182" t="s">
        <v>58</v>
      </c>
      <c r="C1182" t="s">
        <v>35</v>
      </c>
      <c r="D1182">
        <v>987</v>
      </c>
      <c r="E1182" s="2">
        <v>12015</v>
      </c>
      <c r="F1182" s="3">
        <v>53204</v>
      </c>
    </row>
    <row r="1183" spans="1:6" x14ac:dyDescent="0.3">
      <c r="A1183">
        <v>2018</v>
      </c>
      <c r="B1183" t="s">
        <v>58</v>
      </c>
      <c r="C1183" t="s">
        <v>36</v>
      </c>
      <c r="D1183" s="2">
        <v>12672</v>
      </c>
      <c r="E1183" s="2">
        <v>275598</v>
      </c>
      <c r="F1183" s="3">
        <v>129853</v>
      </c>
    </row>
    <row r="1184" spans="1:6" x14ac:dyDescent="0.3">
      <c r="A1184">
        <v>2018</v>
      </c>
      <c r="B1184" t="s">
        <v>58</v>
      </c>
      <c r="C1184" t="s">
        <v>37</v>
      </c>
      <c r="D1184" s="2">
        <v>5238</v>
      </c>
      <c r="E1184" s="2">
        <v>79945</v>
      </c>
      <c r="F1184" s="3">
        <v>83920</v>
      </c>
    </row>
    <row r="1185" spans="1:6" x14ac:dyDescent="0.3">
      <c r="A1185">
        <v>2018</v>
      </c>
      <c r="B1185" t="s">
        <v>58</v>
      </c>
      <c r="C1185" t="s">
        <v>38</v>
      </c>
      <c r="D1185">
        <v>395</v>
      </c>
      <c r="E1185" s="2">
        <v>6221</v>
      </c>
      <c r="F1185" s="3">
        <v>70208</v>
      </c>
    </row>
    <row r="1186" spans="1:6" x14ac:dyDescent="0.3">
      <c r="A1186">
        <v>2018</v>
      </c>
      <c r="B1186" t="s">
        <v>58</v>
      </c>
      <c r="C1186" t="s">
        <v>39</v>
      </c>
      <c r="D1186" s="2">
        <v>4616</v>
      </c>
      <c r="E1186" s="2">
        <v>70930</v>
      </c>
      <c r="F1186" s="3">
        <v>70006</v>
      </c>
    </row>
    <row r="1187" spans="1:6" x14ac:dyDescent="0.3">
      <c r="A1187">
        <v>2018</v>
      </c>
      <c r="B1187" t="s">
        <v>58</v>
      </c>
      <c r="C1187" t="s">
        <v>40</v>
      </c>
      <c r="D1187" s="2">
        <v>1469</v>
      </c>
      <c r="E1187" s="2">
        <v>19859</v>
      </c>
      <c r="F1187" s="3">
        <v>58997</v>
      </c>
    </row>
    <row r="1188" spans="1:6" x14ac:dyDescent="0.3">
      <c r="A1188">
        <v>2018</v>
      </c>
      <c r="B1188" t="s">
        <v>58</v>
      </c>
      <c r="C1188" t="s">
        <v>41</v>
      </c>
      <c r="D1188" s="2">
        <v>3768</v>
      </c>
      <c r="E1188" s="2">
        <v>34277</v>
      </c>
      <c r="F1188" s="3">
        <v>87733</v>
      </c>
    </row>
    <row r="1189" spans="1:6" x14ac:dyDescent="0.3">
      <c r="A1189">
        <v>2018</v>
      </c>
      <c r="B1189" t="s">
        <v>58</v>
      </c>
      <c r="C1189" t="s">
        <v>42</v>
      </c>
      <c r="D1189" s="2">
        <v>4896</v>
      </c>
      <c r="E1189" s="2">
        <v>85970</v>
      </c>
      <c r="F1189" s="3">
        <v>87091</v>
      </c>
    </row>
    <row r="1190" spans="1:6" x14ac:dyDescent="0.3">
      <c r="A1190">
        <v>2018</v>
      </c>
      <c r="B1190" t="s">
        <v>58</v>
      </c>
      <c r="C1190" t="s">
        <v>43</v>
      </c>
      <c r="D1190">
        <v>715</v>
      </c>
      <c r="E1190" s="2">
        <v>5930</v>
      </c>
      <c r="F1190" s="3">
        <v>74327</v>
      </c>
    </row>
    <row r="1191" spans="1:6" x14ac:dyDescent="0.3">
      <c r="A1191">
        <v>2018</v>
      </c>
      <c r="B1191" t="s">
        <v>58</v>
      </c>
      <c r="C1191" t="s">
        <v>44</v>
      </c>
      <c r="D1191" s="2">
        <v>2548</v>
      </c>
      <c r="E1191" s="2">
        <v>28067</v>
      </c>
      <c r="F1191" s="3">
        <v>61977</v>
      </c>
    </row>
    <row r="1192" spans="1:6" x14ac:dyDescent="0.3">
      <c r="A1192">
        <v>2018</v>
      </c>
      <c r="B1192" t="s">
        <v>58</v>
      </c>
      <c r="C1192" t="s">
        <v>45</v>
      </c>
      <c r="D1192">
        <v>561</v>
      </c>
      <c r="E1192" s="2">
        <v>5589</v>
      </c>
      <c r="F1192" s="3">
        <v>49334</v>
      </c>
    </row>
    <row r="1193" spans="1:6" x14ac:dyDescent="0.3">
      <c r="A1193">
        <v>2018</v>
      </c>
      <c r="B1193" t="s">
        <v>58</v>
      </c>
      <c r="C1193" t="s">
        <v>46</v>
      </c>
      <c r="D1193" s="2">
        <v>3519</v>
      </c>
      <c r="E1193" s="2">
        <v>44851</v>
      </c>
      <c r="F1193" s="3">
        <v>73821</v>
      </c>
    </row>
    <row r="1194" spans="1:6" x14ac:dyDescent="0.3">
      <c r="A1194">
        <v>2018</v>
      </c>
      <c r="B1194" t="s">
        <v>58</v>
      </c>
      <c r="C1194" t="s">
        <v>47</v>
      </c>
      <c r="D1194" s="2">
        <v>9828</v>
      </c>
      <c r="E1194" s="2">
        <v>203822</v>
      </c>
      <c r="F1194" s="3">
        <v>87085</v>
      </c>
    </row>
    <row r="1195" spans="1:6" x14ac:dyDescent="0.3">
      <c r="A1195">
        <v>2018</v>
      </c>
      <c r="B1195" t="s">
        <v>58</v>
      </c>
      <c r="C1195" t="s">
        <v>48</v>
      </c>
      <c r="D1195" s="2">
        <v>2489</v>
      </c>
      <c r="E1195" s="2">
        <v>36783</v>
      </c>
      <c r="F1195" s="3">
        <v>78404</v>
      </c>
    </row>
    <row r="1196" spans="1:6" x14ac:dyDescent="0.3">
      <c r="A1196">
        <v>2018</v>
      </c>
      <c r="B1196" t="s">
        <v>58</v>
      </c>
      <c r="C1196" t="s">
        <v>49</v>
      </c>
      <c r="D1196">
        <v>505</v>
      </c>
      <c r="E1196" s="2">
        <v>4280</v>
      </c>
      <c r="F1196" s="3">
        <v>59800</v>
      </c>
    </row>
    <row r="1197" spans="1:6" x14ac:dyDescent="0.3">
      <c r="A1197">
        <v>2018</v>
      </c>
      <c r="B1197" t="s">
        <v>58</v>
      </c>
      <c r="C1197" t="s">
        <v>50</v>
      </c>
      <c r="D1197" s="2">
        <v>4379</v>
      </c>
      <c r="E1197" s="2">
        <v>66998</v>
      </c>
      <c r="F1197" s="3">
        <v>100731</v>
      </c>
    </row>
    <row r="1198" spans="1:6" x14ac:dyDescent="0.3">
      <c r="A1198">
        <v>2018</v>
      </c>
      <c r="B1198" t="s">
        <v>58</v>
      </c>
      <c r="C1198" t="s">
        <v>51</v>
      </c>
      <c r="D1198" s="2">
        <v>4629</v>
      </c>
      <c r="E1198" s="2">
        <v>133126</v>
      </c>
      <c r="F1198" s="3">
        <v>194631</v>
      </c>
    </row>
    <row r="1199" spans="1:6" x14ac:dyDescent="0.3">
      <c r="A1199">
        <v>2018</v>
      </c>
      <c r="B1199" t="s">
        <v>58</v>
      </c>
      <c r="C1199" t="s">
        <v>52</v>
      </c>
      <c r="D1199">
        <v>789</v>
      </c>
      <c r="E1199" s="2">
        <v>8288</v>
      </c>
      <c r="F1199" s="3">
        <v>52508</v>
      </c>
    </row>
    <row r="1200" spans="1:6" x14ac:dyDescent="0.3">
      <c r="A1200">
        <v>2018</v>
      </c>
      <c r="B1200" t="s">
        <v>58</v>
      </c>
      <c r="C1200" t="s">
        <v>53</v>
      </c>
      <c r="D1200" s="2">
        <v>2298</v>
      </c>
      <c r="E1200" s="2">
        <v>47152</v>
      </c>
      <c r="F1200" s="3">
        <v>75414</v>
      </c>
    </row>
    <row r="1201" spans="1:6" x14ac:dyDescent="0.3">
      <c r="A1201">
        <v>2018</v>
      </c>
      <c r="B1201" t="s">
        <v>58</v>
      </c>
      <c r="C1201" t="s">
        <v>54</v>
      </c>
      <c r="D1201">
        <v>398</v>
      </c>
      <c r="E1201" s="2">
        <v>3554</v>
      </c>
      <c r="F1201" s="3">
        <v>47401</v>
      </c>
    </row>
    <row r="1202" spans="1:6" x14ac:dyDescent="0.3">
      <c r="A1202">
        <v>2018</v>
      </c>
      <c r="B1202" t="s">
        <v>59</v>
      </c>
      <c r="C1202" t="s">
        <v>7</v>
      </c>
      <c r="D1202" s="2">
        <v>13364</v>
      </c>
      <c r="E1202" s="2">
        <v>94561</v>
      </c>
      <c r="F1202" s="3">
        <v>69240</v>
      </c>
    </row>
    <row r="1203" spans="1:6" x14ac:dyDescent="0.3">
      <c r="A1203">
        <v>2018</v>
      </c>
      <c r="B1203" t="s">
        <v>59</v>
      </c>
      <c r="C1203" t="s">
        <v>8</v>
      </c>
      <c r="D1203" s="2">
        <v>17978</v>
      </c>
      <c r="E1203" s="2">
        <v>214637</v>
      </c>
      <c r="F1203" s="3">
        <v>70877</v>
      </c>
    </row>
    <row r="1204" spans="1:6" x14ac:dyDescent="0.3">
      <c r="A1204">
        <v>2018</v>
      </c>
      <c r="B1204" t="s">
        <v>59</v>
      </c>
      <c r="C1204" t="s">
        <v>9</v>
      </c>
      <c r="D1204" s="2">
        <v>8418</v>
      </c>
      <c r="E1204" s="2">
        <v>50647</v>
      </c>
      <c r="F1204" s="3">
        <v>58119</v>
      </c>
    </row>
    <row r="1205" spans="1:6" x14ac:dyDescent="0.3">
      <c r="A1205">
        <v>2018</v>
      </c>
      <c r="B1205" t="s">
        <v>59</v>
      </c>
      <c r="C1205" t="s">
        <v>10</v>
      </c>
      <c r="D1205" s="2">
        <v>106953</v>
      </c>
      <c r="E1205" s="2">
        <v>835896</v>
      </c>
      <c r="F1205" s="3">
        <v>107228</v>
      </c>
    </row>
    <row r="1206" spans="1:6" x14ac:dyDescent="0.3">
      <c r="A1206">
        <v>2018</v>
      </c>
      <c r="B1206" t="s">
        <v>59</v>
      </c>
      <c r="C1206" t="s">
        <v>11</v>
      </c>
      <c r="D1206" s="2">
        <v>23326</v>
      </c>
      <c r="E1206" s="2">
        <v>164801</v>
      </c>
      <c r="F1206" s="3">
        <v>84615</v>
      </c>
    </row>
    <row r="1207" spans="1:6" x14ac:dyDescent="0.3">
      <c r="A1207">
        <v>2018</v>
      </c>
      <c r="B1207" t="s">
        <v>59</v>
      </c>
      <c r="C1207" t="s">
        <v>12</v>
      </c>
      <c r="D1207" s="2">
        <v>10879</v>
      </c>
      <c r="E1207" s="2">
        <v>123655</v>
      </c>
      <c r="F1207" s="3">
        <v>155433</v>
      </c>
    </row>
    <row r="1208" spans="1:6" x14ac:dyDescent="0.3">
      <c r="A1208">
        <v>2018</v>
      </c>
      <c r="B1208" t="s">
        <v>59</v>
      </c>
      <c r="C1208" t="s">
        <v>13</v>
      </c>
      <c r="D1208" s="2">
        <v>2859</v>
      </c>
      <c r="E1208" s="2">
        <v>47609</v>
      </c>
      <c r="F1208" s="3">
        <v>95574</v>
      </c>
    </row>
    <row r="1209" spans="1:6" x14ac:dyDescent="0.3">
      <c r="A1209">
        <v>2018</v>
      </c>
      <c r="B1209" t="s">
        <v>59</v>
      </c>
      <c r="C1209" t="s">
        <v>14</v>
      </c>
      <c r="D1209" s="2">
        <v>73412</v>
      </c>
      <c r="E1209" s="2">
        <v>570645</v>
      </c>
      <c r="F1209" s="3">
        <v>75337</v>
      </c>
    </row>
    <row r="1210" spans="1:6" x14ac:dyDescent="0.3">
      <c r="A1210">
        <v>2018</v>
      </c>
      <c r="B1210" t="s">
        <v>59</v>
      </c>
      <c r="C1210" t="s">
        <v>15</v>
      </c>
      <c r="D1210" s="2">
        <v>26225</v>
      </c>
      <c r="E1210" s="2">
        <v>237900</v>
      </c>
      <c r="F1210" s="3">
        <v>84587</v>
      </c>
    </row>
    <row r="1211" spans="1:6" x14ac:dyDescent="0.3">
      <c r="A1211">
        <v>2018</v>
      </c>
      <c r="B1211" t="s">
        <v>59</v>
      </c>
      <c r="C1211" t="s">
        <v>16</v>
      </c>
      <c r="D1211" s="2">
        <v>5824</v>
      </c>
      <c r="E1211" s="2">
        <v>32493</v>
      </c>
      <c r="F1211" s="3">
        <v>56024</v>
      </c>
    </row>
    <row r="1212" spans="1:6" x14ac:dyDescent="0.3">
      <c r="A1212">
        <v>2018</v>
      </c>
      <c r="B1212" t="s">
        <v>59</v>
      </c>
      <c r="C1212" t="s">
        <v>17</v>
      </c>
      <c r="D1212" s="2">
        <v>32448</v>
      </c>
      <c r="E1212" s="2">
        <v>373685</v>
      </c>
      <c r="F1212" s="3">
        <v>109598</v>
      </c>
    </row>
    <row r="1213" spans="1:6" x14ac:dyDescent="0.3">
      <c r="A1213">
        <v>2018</v>
      </c>
      <c r="B1213" t="s">
        <v>59</v>
      </c>
      <c r="C1213" t="s">
        <v>18</v>
      </c>
      <c r="D1213" s="2">
        <v>16542</v>
      </c>
      <c r="E1213" s="2">
        <v>133603</v>
      </c>
      <c r="F1213" s="3">
        <v>65167</v>
      </c>
    </row>
    <row r="1214" spans="1:6" x14ac:dyDescent="0.3">
      <c r="A1214">
        <v>2018</v>
      </c>
      <c r="B1214" t="s">
        <v>59</v>
      </c>
      <c r="C1214" t="s">
        <v>19</v>
      </c>
      <c r="D1214" s="2">
        <v>10213</v>
      </c>
      <c r="E1214" s="2">
        <v>109030</v>
      </c>
      <c r="F1214" s="3">
        <v>73894</v>
      </c>
    </row>
    <row r="1215" spans="1:6" x14ac:dyDescent="0.3">
      <c r="A1215">
        <v>2018</v>
      </c>
      <c r="B1215" t="s">
        <v>59</v>
      </c>
      <c r="C1215" t="s">
        <v>20</v>
      </c>
      <c r="D1215" s="2">
        <v>8870</v>
      </c>
      <c r="E1215" s="2">
        <v>73500</v>
      </c>
      <c r="F1215" s="3">
        <v>67710</v>
      </c>
    </row>
    <row r="1216" spans="1:6" x14ac:dyDescent="0.3">
      <c r="A1216">
        <v>2018</v>
      </c>
      <c r="B1216" t="s">
        <v>59</v>
      </c>
      <c r="C1216" t="s">
        <v>21</v>
      </c>
      <c r="D1216" s="2">
        <v>11035</v>
      </c>
      <c r="E1216" s="2">
        <v>92881</v>
      </c>
      <c r="F1216" s="3">
        <v>67733</v>
      </c>
    </row>
    <row r="1217" spans="1:6" x14ac:dyDescent="0.3">
      <c r="A1217">
        <v>2018</v>
      </c>
      <c r="B1217" t="s">
        <v>59</v>
      </c>
      <c r="C1217" t="s">
        <v>22</v>
      </c>
      <c r="D1217" s="2">
        <v>13754</v>
      </c>
      <c r="E1217" s="2">
        <v>85071</v>
      </c>
      <c r="F1217" s="3">
        <v>62731</v>
      </c>
    </row>
    <row r="1218" spans="1:6" x14ac:dyDescent="0.3">
      <c r="A1218">
        <v>2018</v>
      </c>
      <c r="B1218" t="s">
        <v>59</v>
      </c>
      <c r="C1218" t="s">
        <v>23</v>
      </c>
      <c r="D1218" s="2">
        <v>3804</v>
      </c>
      <c r="E1218" s="2">
        <v>29811</v>
      </c>
      <c r="F1218" s="3">
        <v>68174</v>
      </c>
    </row>
    <row r="1219" spans="1:6" x14ac:dyDescent="0.3">
      <c r="A1219">
        <v>2018</v>
      </c>
      <c r="B1219" t="s">
        <v>59</v>
      </c>
      <c r="C1219" t="s">
        <v>24</v>
      </c>
      <c r="D1219" s="2">
        <v>15277</v>
      </c>
      <c r="E1219" s="2">
        <v>138261</v>
      </c>
      <c r="F1219" s="3">
        <v>94201</v>
      </c>
    </row>
    <row r="1220" spans="1:6" x14ac:dyDescent="0.3">
      <c r="A1220">
        <v>2018</v>
      </c>
      <c r="B1220" t="s">
        <v>59</v>
      </c>
      <c r="C1220" t="s">
        <v>25</v>
      </c>
      <c r="D1220" s="2">
        <v>17504</v>
      </c>
      <c r="E1220" s="2">
        <v>217151</v>
      </c>
      <c r="F1220" s="3">
        <v>144514</v>
      </c>
    </row>
    <row r="1221" spans="1:6" x14ac:dyDescent="0.3">
      <c r="A1221">
        <v>2018</v>
      </c>
      <c r="B1221" t="s">
        <v>59</v>
      </c>
      <c r="C1221" t="s">
        <v>26</v>
      </c>
      <c r="D1221" s="2">
        <v>19082</v>
      </c>
      <c r="E1221" s="2">
        <v>203261</v>
      </c>
      <c r="F1221" s="3">
        <v>71568</v>
      </c>
    </row>
    <row r="1222" spans="1:6" x14ac:dyDescent="0.3">
      <c r="A1222">
        <v>2018</v>
      </c>
      <c r="B1222" t="s">
        <v>59</v>
      </c>
      <c r="C1222" t="s">
        <v>27</v>
      </c>
      <c r="D1222" s="2">
        <v>15877</v>
      </c>
      <c r="E1222" s="2">
        <v>178309</v>
      </c>
      <c r="F1222" s="3">
        <v>95604</v>
      </c>
    </row>
    <row r="1223" spans="1:6" x14ac:dyDescent="0.3">
      <c r="A1223">
        <v>2018</v>
      </c>
      <c r="B1223" t="s">
        <v>59</v>
      </c>
      <c r="C1223" t="s">
        <v>28</v>
      </c>
      <c r="D1223" s="2">
        <v>7959</v>
      </c>
      <c r="E1223" s="2">
        <v>42911</v>
      </c>
      <c r="F1223" s="3">
        <v>53281</v>
      </c>
    </row>
    <row r="1224" spans="1:6" x14ac:dyDescent="0.3">
      <c r="A1224">
        <v>2018</v>
      </c>
      <c r="B1224" t="s">
        <v>59</v>
      </c>
      <c r="C1224" t="s">
        <v>29</v>
      </c>
      <c r="D1224" s="2">
        <v>17251</v>
      </c>
      <c r="E1224" s="2">
        <v>162755</v>
      </c>
      <c r="F1224" s="3">
        <v>72947</v>
      </c>
    </row>
    <row r="1225" spans="1:6" x14ac:dyDescent="0.3">
      <c r="A1225">
        <v>2018</v>
      </c>
      <c r="B1225" t="s">
        <v>59</v>
      </c>
      <c r="C1225" t="s">
        <v>30</v>
      </c>
      <c r="D1225" s="2">
        <v>4297</v>
      </c>
      <c r="E1225" s="2">
        <v>21204</v>
      </c>
      <c r="F1225" s="3">
        <v>59315</v>
      </c>
    </row>
    <row r="1226" spans="1:6" x14ac:dyDescent="0.3">
      <c r="A1226">
        <v>2018</v>
      </c>
      <c r="B1226" t="s">
        <v>59</v>
      </c>
      <c r="C1226" t="s">
        <v>31</v>
      </c>
      <c r="D1226" s="2">
        <v>6683</v>
      </c>
      <c r="E1226" s="2">
        <v>66245</v>
      </c>
      <c r="F1226" s="3">
        <v>66817</v>
      </c>
    </row>
    <row r="1227" spans="1:6" x14ac:dyDescent="0.3">
      <c r="A1227">
        <v>2018</v>
      </c>
      <c r="B1227" t="s">
        <v>59</v>
      </c>
      <c r="C1227" t="s">
        <v>32</v>
      </c>
      <c r="D1227" s="2">
        <v>9082</v>
      </c>
      <c r="E1227" s="2">
        <v>63303</v>
      </c>
      <c r="F1227" s="3">
        <v>66612</v>
      </c>
    </row>
    <row r="1228" spans="1:6" x14ac:dyDescent="0.3">
      <c r="A1228">
        <v>2018</v>
      </c>
      <c r="B1228" t="s">
        <v>59</v>
      </c>
      <c r="C1228" t="s">
        <v>33</v>
      </c>
      <c r="D1228" s="2">
        <v>3838</v>
      </c>
      <c r="E1228" s="2">
        <v>33486</v>
      </c>
      <c r="F1228" s="3">
        <v>94889</v>
      </c>
    </row>
    <row r="1229" spans="1:6" x14ac:dyDescent="0.3">
      <c r="A1229">
        <v>2018</v>
      </c>
      <c r="B1229" t="s">
        <v>59</v>
      </c>
      <c r="C1229" t="s">
        <v>34</v>
      </c>
      <c r="D1229" s="2">
        <v>19963</v>
      </c>
      <c r="E1229" s="2">
        <v>242994</v>
      </c>
      <c r="F1229" s="3">
        <v>115066</v>
      </c>
    </row>
    <row r="1230" spans="1:6" x14ac:dyDescent="0.3">
      <c r="A1230">
        <v>2018</v>
      </c>
      <c r="B1230" t="s">
        <v>59</v>
      </c>
      <c r="C1230" t="s">
        <v>35</v>
      </c>
      <c r="D1230" s="2">
        <v>5293</v>
      </c>
      <c r="E1230" s="2">
        <v>32955</v>
      </c>
      <c r="F1230" s="3">
        <v>56048</v>
      </c>
    </row>
    <row r="1231" spans="1:6" x14ac:dyDescent="0.3">
      <c r="A1231">
        <v>2018</v>
      </c>
      <c r="B1231" t="s">
        <v>59</v>
      </c>
      <c r="C1231" t="s">
        <v>36</v>
      </c>
      <c r="D1231" s="2">
        <v>64317</v>
      </c>
      <c r="E1231" s="2">
        <v>714540</v>
      </c>
      <c r="F1231" s="3">
        <v>186871</v>
      </c>
    </row>
    <row r="1232" spans="1:6" x14ac:dyDescent="0.3">
      <c r="A1232">
        <v>2018</v>
      </c>
      <c r="B1232" t="s">
        <v>59</v>
      </c>
      <c r="C1232" t="s">
        <v>37</v>
      </c>
      <c r="D1232" s="2">
        <v>27776</v>
      </c>
      <c r="E1232" s="2">
        <v>233277</v>
      </c>
      <c r="F1232" s="3">
        <v>87311</v>
      </c>
    </row>
    <row r="1233" spans="1:6" x14ac:dyDescent="0.3">
      <c r="A1233">
        <v>2018</v>
      </c>
      <c r="B1233" t="s">
        <v>59</v>
      </c>
      <c r="C1233" t="s">
        <v>38</v>
      </c>
      <c r="D1233" s="2">
        <v>2995</v>
      </c>
      <c r="E1233" s="2">
        <v>23145</v>
      </c>
      <c r="F1233" s="3">
        <v>63251</v>
      </c>
    </row>
    <row r="1234" spans="1:6" x14ac:dyDescent="0.3">
      <c r="A1234">
        <v>2018</v>
      </c>
      <c r="B1234" t="s">
        <v>59</v>
      </c>
      <c r="C1234" t="s">
        <v>39</v>
      </c>
      <c r="D1234" s="2">
        <v>28783</v>
      </c>
      <c r="E1234" s="2">
        <v>293549</v>
      </c>
      <c r="F1234" s="3">
        <v>72736</v>
      </c>
    </row>
    <row r="1235" spans="1:6" x14ac:dyDescent="0.3">
      <c r="A1235">
        <v>2018</v>
      </c>
      <c r="B1235" t="s">
        <v>59</v>
      </c>
      <c r="C1235" t="s">
        <v>40</v>
      </c>
      <c r="D1235" s="2">
        <v>11458</v>
      </c>
      <c r="E1235" s="2">
        <v>77052</v>
      </c>
      <c r="F1235" s="3">
        <v>58044</v>
      </c>
    </row>
    <row r="1236" spans="1:6" x14ac:dyDescent="0.3">
      <c r="A1236">
        <v>2018</v>
      </c>
      <c r="B1236" t="s">
        <v>59</v>
      </c>
      <c r="C1236" t="s">
        <v>41</v>
      </c>
      <c r="D1236" s="2">
        <v>13030</v>
      </c>
      <c r="E1236" s="2">
        <v>84865</v>
      </c>
      <c r="F1236" s="3">
        <v>69649</v>
      </c>
    </row>
    <row r="1237" spans="1:6" x14ac:dyDescent="0.3">
      <c r="A1237">
        <v>2018</v>
      </c>
      <c r="B1237" t="s">
        <v>59</v>
      </c>
      <c r="C1237" t="s">
        <v>42</v>
      </c>
      <c r="D1237" s="2">
        <v>28823</v>
      </c>
      <c r="E1237" s="2">
        <v>325130</v>
      </c>
      <c r="F1237" s="3">
        <v>88831</v>
      </c>
    </row>
    <row r="1238" spans="1:6" x14ac:dyDescent="0.3">
      <c r="A1238">
        <v>2018</v>
      </c>
      <c r="B1238" t="s">
        <v>59</v>
      </c>
      <c r="C1238" t="s">
        <v>43</v>
      </c>
      <c r="D1238" s="2">
        <v>2869</v>
      </c>
      <c r="E1238" s="2">
        <v>32305</v>
      </c>
      <c r="F1238" s="3">
        <v>88061</v>
      </c>
    </row>
    <row r="1239" spans="1:6" x14ac:dyDescent="0.3">
      <c r="A1239">
        <v>2018</v>
      </c>
      <c r="B1239" t="s">
        <v>59</v>
      </c>
      <c r="C1239" t="s">
        <v>44</v>
      </c>
      <c r="D1239" s="2">
        <v>13166</v>
      </c>
      <c r="E1239" s="2">
        <v>100794</v>
      </c>
      <c r="F1239" s="3">
        <v>61713</v>
      </c>
    </row>
    <row r="1240" spans="1:6" x14ac:dyDescent="0.3">
      <c r="A1240">
        <v>2018</v>
      </c>
      <c r="B1240" t="s">
        <v>59</v>
      </c>
      <c r="C1240" t="s">
        <v>45</v>
      </c>
      <c r="D1240" s="2">
        <v>3259</v>
      </c>
      <c r="E1240" s="2">
        <v>28739</v>
      </c>
      <c r="F1240" s="3">
        <v>60160</v>
      </c>
    </row>
    <row r="1241" spans="1:6" x14ac:dyDescent="0.3">
      <c r="A1241">
        <v>2018</v>
      </c>
      <c r="B1241" t="s">
        <v>59</v>
      </c>
      <c r="C1241" t="s">
        <v>46</v>
      </c>
      <c r="D1241" s="2">
        <v>15698</v>
      </c>
      <c r="E1241" s="2">
        <v>150833</v>
      </c>
      <c r="F1241" s="3">
        <v>76718</v>
      </c>
    </row>
    <row r="1242" spans="1:6" x14ac:dyDescent="0.3">
      <c r="A1242">
        <v>2018</v>
      </c>
      <c r="B1242" t="s">
        <v>59</v>
      </c>
      <c r="C1242" t="s">
        <v>47</v>
      </c>
      <c r="D1242" s="2">
        <v>73679</v>
      </c>
      <c r="E1242" s="2">
        <v>756318</v>
      </c>
      <c r="F1242" s="3">
        <v>83356</v>
      </c>
    </row>
    <row r="1243" spans="1:6" x14ac:dyDescent="0.3">
      <c r="A1243">
        <v>2018</v>
      </c>
      <c r="B1243" t="s">
        <v>59</v>
      </c>
      <c r="C1243" t="s">
        <v>48</v>
      </c>
      <c r="D1243" s="2">
        <v>11520</v>
      </c>
      <c r="E1243" s="2">
        <v>87530</v>
      </c>
      <c r="F1243" s="3">
        <v>67933</v>
      </c>
    </row>
    <row r="1244" spans="1:6" x14ac:dyDescent="0.3">
      <c r="A1244">
        <v>2018</v>
      </c>
      <c r="B1244" t="s">
        <v>59</v>
      </c>
      <c r="C1244" t="s">
        <v>49</v>
      </c>
      <c r="D1244" s="2">
        <v>1694</v>
      </c>
      <c r="E1244" s="2">
        <v>11814</v>
      </c>
      <c r="F1244" s="3">
        <v>72078</v>
      </c>
    </row>
    <row r="1245" spans="1:6" x14ac:dyDescent="0.3">
      <c r="A1245">
        <v>2018</v>
      </c>
      <c r="B1245" t="s">
        <v>59</v>
      </c>
      <c r="C1245" t="s">
        <v>50</v>
      </c>
      <c r="D1245" s="2">
        <v>21938</v>
      </c>
      <c r="E1245" s="2">
        <v>194731</v>
      </c>
      <c r="F1245" s="3">
        <v>85723</v>
      </c>
    </row>
    <row r="1246" spans="1:6" x14ac:dyDescent="0.3">
      <c r="A1246">
        <v>2018</v>
      </c>
      <c r="B1246" t="s">
        <v>59</v>
      </c>
      <c r="C1246" t="s">
        <v>51</v>
      </c>
      <c r="D1246" s="2">
        <v>17577</v>
      </c>
      <c r="E1246" s="2">
        <v>147871</v>
      </c>
      <c r="F1246" s="3">
        <v>80466</v>
      </c>
    </row>
    <row r="1247" spans="1:6" x14ac:dyDescent="0.3">
      <c r="A1247">
        <v>2018</v>
      </c>
      <c r="B1247" t="s">
        <v>59</v>
      </c>
      <c r="C1247" t="s">
        <v>52</v>
      </c>
      <c r="D1247" s="2">
        <v>4029</v>
      </c>
      <c r="E1247" s="2">
        <v>24510</v>
      </c>
      <c r="F1247" s="3">
        <v>53206</v>
      </c>
    </row>
    <row r="1248" spans="1:6" x14ac:dyDescent="0.3">
      <c r="A1248">
        <v>2018</v>
      </c>
      <c r="B1248" t="s">
        <v>59</v>
      </c>
      <c r="C1248" t="s">
        <v>53</v>
      </c>
      <c r="D1248" s="2">
        <v>13917</v>
      </c>
      <c r="E1248" s="2">
        <v>148837</v>
      </c>
      <c r="F1248" s="3">
        <v>71561</v>
      </c>
    </row>
    <row r="1249" spans="1:6" x14ac:dyDescent="0.3">
      <c r="A1249">
        <v>2018</v>
      </c>
      <c r="B1249" t="s">
        <v>59</v>
      </c>
      <c r="C1249" t="s">
        <v>54</v>
      </c>
      <c r="D1249" s="2">
        <v>2283</v>
      </c>
      <c r="E1249" s="2">
        <v>11124</v>
      </c>
      <c r="F1249" s="3">
        <v>57486</v>
      </c>
    </row>
    <row r="1250" spans="1:6" x14ac:dyDescent="0.3">
      <c r="A1250">
        <v>2018</v>
      </c>
      <c r="B1250" t="s">
        <v>60</v>
      </c>
      <c r="C1250" t="s">
        <v>7</v>
      </c>
      <c r="D1250" s="2">
        <v>21888</v>
      </c>
      <c r="E1250" s="2">
        <v>245234</v>
      </c>
      <c r="F1250" s="3">
        <v>55653</v>
      </c>
    </row>
    <row r="1251" spans="1:6" x14ac:dyDescent="0.3">
      <c r="A1251">
        <v>2018</v>
      </c>
      <c r="B1251" t="s">
        <v>60</v>
      </c>
      <c r="C1251" t="s">
        <v>8</v>
      </c>
      <c r="D1251" s="2">
        <v>35993</v>
      </c>
      <c r="E1251" s="2">
        <v>430516</v>
      </c>
      <c r="F1251" s="3">
        <v>56745</v>
      </c>
    </row>
    <row r="1252" spans="1:6" x14ac:dyDescent="0.3">
      <c r="A1252">
        <v>2018</v>
      </c>
      <c r="B1252" t="s">
        <v>60</v>
      </c>
      <c r="C1252" t="s">
        <v>9</v>
      </c>
      <c r="D1252" s="2">
        <v>14308</v>
      </c>
      <c r="E1252" s="2">
        <v>146700</v>
      </c>
      <c r="F1252" s="3">
        <v>60316</v>
      </c>
    </row>
    <row r="1253" spans="1:6" x14ac:dyDescent="0.3">
      <c r="A1253">
        <v>2018</v>
      </c>
      <c r="B1253" t="s">
        <v>60</v>
      </c>
      <c r="C1253" t="s">
        <v>10</v>
      </c>
      <c r="D1253" s="2">
        <v>208425</v>
      </c>
      <c r="E1253" s="2">
        <v>2667839</v>
      </c>
      <c r="F1253" s="3">
        <v>91070</v>
      </c>
    </row>
    <row r="1254" spans="1:6" x14ac:dyDescent="0.3">
      <c r="A1254">
        <v>2018</v>
      </c>
      <c r="B1254" t="s">
        <v>60</v>
      </c>
      <c r="C1254" t="s">
        <v>11</v>
      </c>
      <c r="D1254" s="2">
        <v>52525</v>
      </c>
      <c r="E1254" s="2">
        <v>423946</v>
      </c>
      <c r="F1254" s="3">
        <v>81401</v>
      </c>
    </row>
    <row r="1255" spans="1:6" x14ac:dyDescent="0.3">
      <c r="A1255">
        <v>2018</v>
      </c>
      <c r="B1255" t="s">
        <v>60</v>
      </c>
      <c r="C1255" t="s">
        <v>12</v>
      </c>
      <c r="D1255" s="2">
        <v>23279</v>
      </c>
      <c r="E1255" s="2">
        <v>221029</v>
      </c>
      <c r="F1255" s="3">
        <v>87958</v>
      </c>
    </row>
    <row r="1256" spans="1:6" x14ac:dyDescent="0.3">
      <c r="A1256">
        <v>2018</v>
      </c>
      <c r="B1256" t="s">
        <v>60</v>
      </c>
      <c r="C1256" t="s">
        <v>13</v>
      </c>
      <c r="D1256" s="2">
        <v>8956</v>
      </c>
      <c r="E1256" s="2">
        <v>63405</v>
      </c>
      <c r="F1256" s="3">
        <v>80066</v>
      </c>
    </row>
    <row r="1257" spans="1:6" x14ac:dyDescent="0.3">
      <c r="A1257">
        <v>2018</v>
      </c>
      <c r="B1257" t="s">
        <v>60</v>
      </c>
      <c r="C1257" t="s">
        <v>14</v>
      </c>
      <c r="D1257" s="2">
        <v>161890</v>
      </c>
      <c r="E1257" s="2">
        <v>1365136</v>
      </c>
      <c r="F1257" s="3">
        <v>60914</v>
      </c>
    </row>
    <row r="1258" spans="1:6" x14ac:dyDescent="0.3">
      <c r="A1258">
        <v>2018</v>
      </c>
      <c r="B1258" t="s">
        <v>60</v>
      </c>
      <c r="C1258" t="s">
        <v>15</v>
      </c>
      <c r="D1258" s="2">
        <v>54714</v>
      </c>
      <c r="E1258" s="2">
        <v>687321</v>
      </c>
      <c r="F1258" s="3">
        <v>66989</v>
      </c>
    </row>
    <row r="1259" spans="1:6" x14ac:dyDescent="0.3">
      <c r="A1259">
        <v>2018</v>
      </c>
      <c r="B1259" t="s">
        <v>60</v>
      </c>
      <c r="C1259" t="s">
        <v>16</v>
      </c>
      <c r="D1259" s="2">
        <v>11562</v>
      </c>
      <c r="E1259" s="2">
        <v>91631</v>
      </c>
      <c r="F1259" s="3">
        <v>51695</v>
      </c>
    </row>
    <row r="1260" spans="1:6" x14ac:dyDescent="0.3">
      <c r="A1260">
        <v>2018</v>
      </c>
      <c r="B1260" t="s">
        <v>60</v>
      </c>
      <c r="C1260" t="s">
        <v>17</v>
      </c>
      <c r="D1260" s="2">
        <v>74587</v>
      </c>
      <c r="E1260" s="2">
        <v>948766</v>
      </c>
      <c r="F1260" s="3">
        <v>76586</v>
      </c>
    </row>
    <row r="1261" spans="1:6" x14ac:dyDescent="0.3">
      <c r="A1261">
        <v>2018</v>
      </c>
      <c r="B1261" t="s">
        <v>60</v>
      </c>
      <c r="C1261" t="s">
        <v>18</v>
      </c>
      <c r="D1261" s="2">
        <v>29755</v>
      </c>
      <c r="E1261" s="2">
        <v>342835</v>
      </c>
      <c r="F1261" s="3">
        <v>52468</v>
      </c>
    </row>
    <row r="1262" spans="1:6" x14ac:dyDescent="0.3">
      <c r="A1262">
        <v>2018</v>
      </c>
      <c r="B1262" t="s">
        <v>60</v>
      </c>
      <c r="C1262" t="s">
        <v>19</v>
      </c>
      <c r="D1262" s="2">
        <v>15839</v>
      </c>
      <c r="E1262" s="2">
        <v>140535</v>
      </c>
      <c r="F1262" s="3">
        <v>54071</v>
      </c>
    </row>
    <row r="1263" spans="1:6" x14ac:dyDescent="0.3">
      <c r="A1263">
        <v>2018</v>
      </c>
      <c r="B1263" t="s">
        <v>60</v>
      </c>
      <c r="C1263" t="s">
        <v>20</v>
      </c>
      <c r="D1263" s="2">
        <v>16731</v>
      </c>
      <c r="E1263" s="2">
        <v>179413</v>
      </c>
      <c r="F1263" s="3">
        <v>61288</v>
      </c>
    </row>
    <row r="1264" spans="1:6" x14ac:dyDescent="0.3">
      <c r="A1264">
        <v>2018</v>
      </c>
      <c r="B1264" t="s">
        <v>60</v>
      </c>
      <c r="C1264" t="s">
        <v>21</v>
      </c>
      <c r="D1264" s="2">
        <v>20542</v>
      </c>
      <c r="E1264" s="2">
        <v>217081</v>
      </c>
      <c r="F1264" s="3">
        <v>50087</v>
      </c>
    </row>
    <row r="1265" spans="1:6" x14ac:dyDescent="0.3">
      <c r="A1265">
        <v>2018</v>
      </c>
      <c r="B1265" t="s">
        <v>60</v>
      </c>
      <c r="C1265" t="s">
        <v>22</v>
      </c>
      <c r="D1265" s="2">
        <v>24537</v>
      </c>
      <c r="E1265" s="2">
        <v>213171</v>
      </c>
      <c r="F1265" s="3">
        <v>56446</v>
      </c>
    </row>
    <row r="1266" spans="1:6" x14ac:dyDescent="0.3">
      <c r="A1266">
        <v>2018</v>
      </c>
      <c r="B1266" t="s">
        <v>60</v>
      </c>
      <c r="C1266" t="s">
        <v>23</v>
      </c>
      <c r="D1266" s="2">
        <v>9940</v>
      </c>
      <c r="E1266" s="2">
        <v>69285</v>
      </c>
      <c r="F1266" s="3">
        <v>57328</v>
      </c>
    </row>
    <row r="1267" spans="1:6" x14ac:dyDescent="0.3">
      <c r="A1267">
        <v>2018</v>
      </c>
      <c r="B1267" t="s">
        <v>60</v>
      </c>
      <c r="C1267" t="s">
        <v>24</v>
      </c>
      <c r="D1267" s="2">
        <v>42809</v>
      </c>
      <c r="E1267" s="2">
        <v>452753</v>
      </c>
      <c r="F1267" s="3">
        <v>79500</v>
      </c>
    </row>
    <row r="1268" spans="1:6" x14ac:dyDescent="0.3">
      <c r="A1268">
        <v>2018</v>
      </c>
      <c r="B1268" t="s">
        <v>60</v>
      </c>
      <c r="C1268" t="s">
        <v>25</v>
      </c>
      <c r="D1268" s="2">
        <v>47416</v>
      </c>
      <c r="E1268" s="2">
        <v>587518</v>
      </c>
      <c r="F1268" s="3">
        <v>107875</v>
      </c>
    </row>
    <row r="1269" spans="1:6" x14ac:dyDescent="0.3">
      <c r="A1269">
        <v>2018</v>
      </c>
      <c r="B1269" t="s">
        <v>60</v>
      </c>
      <c r="C1269" t="s">
        <v>26</v>
      </c>
      <c r="D1269" s="2">
        <v>42545</v>
      </c>
      <c r="E1269" s="2">
        <v>657930</v>
      </c>
      <c r="F1269" s="3">
        <v>69377</v>
      </c>
    </row>
    <row r="1270" spans="1:6" x14ac:dyDescent="0.3">
      <c r="A1270">
        <v>2018</v>
      </c>
      <c r="B1270" t="s">
        <v>60</v>
      </c>
      <c r="C1270" t="s">
        <v>27</v>
      </c>
      <c r="D1270" s="2">
        <v>32020</v>
      </c>
      <c r="E1270" s="2">
        <v>378493</v>
      </c>
      <c r="F1270" s="3">
        <v>82535</v>
      </c>
    </row>
    <row r="1271" spans="1:6" x14ac:dyDescent="0.3">
      <c r="A1271">
        <v>2018</v>
      </c>
      <c r="B1271" t="s">
        <v>60</v>
      </c>
      <c r="C1271" t="s">
        <v>28</v>
      </c>
      <c r="D1271" s="2">
        <v>12259</v>
      </c>
      <c r="E1271" s="2">
        <v>109842</v>
      </c>
      <c r="F1271" s="3">
        <v>42132</v>
      </c>
    </row>
    <row r="1272" spans="1:6" x14ac:dyDescent="0.3">
      <c r="A1272">
        <v>2018</v>
      </c>
      <c r="B1272" t="s">
        <v>60</v>
      </c>
      <c r="C1272" t="s">
        <v>29</v>
      </c>
      <c r="D1272" s="2">
        <v>32577</v>
      </c>
      <c r="E1272" s="2">
        <v>385727</v>
      </c>
      <c r="F1272" s="3">
        <v>66429</v>
      </c>
    </row>
    <row r="1273" spans="1:6" x14ac:dyDescent="0.3">
      <c r="A1273">
        <v>2018</v>
      </c>
      <c r="B1273" t="s">
        <v>60</v>
      </c>
      <c r="C1273" t="s">
        <v>30</v>
      </c>
      <c r="D1273" s="2">
        <v>9359</v>
      </c>
      <c r="E1273" s="2">
        <v>42410</v>
      </c>
      <c r="F1273" s="3">
        <v>52271</v>
      </c>
    </row>
    <row r="1274" spans="1:6" x14ac:dyDescent="0.3">
      <c r="A1274">
        <v>2018</v>
      </c>
      <c r="B1274" t="s">
        <v>60</v>
      </c>
      <c r="C1274" t="s">
        <v>31</v>
      </c>
      <c r="D1274" s="2">
        <v>11582</v>
      </c>
      <c r="E1274" s="2">
        <v>119167</v>
      </c>
      <c r="F1274" s="3">
        <v>58836</v>
      </c>
    </row>
    <row r="1275" spans="1:6" x14ac:dyDescent="0.3">
      <c r="A1275">
        <v>2018</v>
      </c>
      <c r="B1275" t="s">
        <v>60</v>
      </c>
      <c r="C1275" t="s">
        <v>32</v>
      </c>
      <c r="D1275" s="2">
        <v>19970</v>
      </c>
      <c r="E1275" s="2">
        <v>190736</v>
      </c>
      <c r="F1275" s="3">
        <v>61821</v>
      </c>
    </row>
    <row r="1276" spans="1:6" x14ac:dyDescent="0.3">
      <c r="A1276">
        <v>2018</v>
      </c>
      <c r="B1276" t="s">
        <v>60</v>
      </c>
      <c r="C1276" t="s">
        <v>33</v>
      </c>
      <c r="D1276" s="2">
        <v>12323</v>
      </c>
      <c r="E1276" s="2">
        <v>82831</v>
      </c>
      <c r="F1276" s="3">
        <v>77486</v>
      </c>
    </row>
    <row r="1277" spans="1:6" x14ac:dyDescent="0.3">
      <c r="A1277">
        <v>2018</v>
      </c>
      <c r="B1277" t="s">
        <v>60</v>
      </c>
      <c r="C1277" t="s">
        <v>34</v>
      </c>
      <c r="D1277" s="2">
        <v>51837</v>
      </c>
      <c r="E1277" s="2">
        <v>671419</v>
      </c>
      <c r="F1277" s="3">
        <v>90784</v>
      </c>
    </row>
    <row r="1278" spans="1:6" x14ac:dyDescent="0.3">
      <c r="A1278">
        <v>2018</v>
      </c>
      <c r="B1278" t="s">
        <v>60</v>
      </c>
      <c r="C1278" t="s">
        <v>35</v>
      </c>
      <c r="D1278" s="2">
        <v>10669</v>
      </c>
      <c r="E1278" s="2">
        <v>106930</v>
      </c>
      <c r="F1278" s="3">
        <v>61899</v>
      </c>
    </row>
    <row r="1279" spans="1:6" x14ac:dyDescent="0.3">
      <c r="A1279">
        <v>2018</v>
      </c>
      <c r="B1279" t="s">
        <v>60</v>
      </c>
      <c r="C1279" t="s">
        <v>36</v>
      </c>
      <c r="D1279" s="2">
        <v>112471</v>
      </c>
      <c r="E1279" s="2">
        <v>1339421</v>
      </c>
      <c r="F1279" s="3">
        <v>95057</v>
      </c>
    </row>
    <row r="1280" spans="1:6" x14ac:dyDescent="0.3">
      <c r="A1280">
        <v>2018</v>
      </c>
      <c r="B1280" t="s">
        <v>60</v>
      </c>
      <c r="C1280" t="s">
        <v>37</v>
      </c>
      <c r="D1280" s="2">
        <v>58892</v>
      </c>
      <c r="E1280" s="2">
        <v>635554</v>
      </c>
      <c r="F1280" s="3">
        <v>65609</v>
      </c>
    </row>
    <row r="1281" spans="1:6" x14ac:dyDescent="0.3">
      <c r="A1281">
        <v>2018</v>
      </c>
      <c r="B1281" t="s">
        <v>60</v>
      </c>
      <c r="C1281" t="s">
        <v>38</v>
      </c>
      <c r="D1281" s="2">
        <v>5130</v>
      </c>
      <c r="E1281" s="2">
        <v>34560</v>
      </c>
      <c r="F1281" s="3">
        <v>61774</v>
      </c>
    </row>
    <row r="1282" spans="1:6" x14ac:dyDescent="0.3">
      <c r="A1282">
        <v>2018</v>
      </c>
      <c r="B1282" t="s">
        <v>60</v>
      </c>
      <c r="C1282" t="s">
        <v>39</v>
      </c>
      <c r="D1282" s="2">
        <v>53280</v>
      </c>
      <c r="E1282" s="2">
        <v>729430</v>
      </c>
      <c r="F1282" s="3">
        <v>64006</v>
      </c>
    </row>
    <row r="1283" spans="1:6" x14ac:dyDescent="0.3">
      <c r="A1283">
        <v>2018</v>
      </c>
      <c r="B1283" t="s">
        <v>60</v>
      </c>
      <c r="C1283" t="s">
        <v>40</v>
      </c>
      <c r="D1283" s="2">
        <v>20594</v>
      </c>
      <c r="E1283" s="2">
        <v>191261</v>
      </c>
      <c r="F1283" s="3">
        <v>52227</v>
      </c>
    </row>
    <row r="1284" spans="1:6" x14ac:dyDescent="0.3">
      <c r="A1284">
        <v>2018</v>
      </c>
      <c r="B1284" t="s">
        <v>60</v>
      </c>
      <c r="C1284" t="s">
        <v>41</v>
      </c>
      <c r="D1284" s="2">
        <v>25462</v>
      </c>
      <c r="E1284" s="2">
        <v>248627</v>
      </c>
      <c r="F1284" s="3">
        <v>69806</v>
      </c>
    </row>
    <row r="1285" spans="1:6" x14ac:dyDescent="0.3">
      <c r="A1285">
        <v>2018</v>
      </c>
      <c r="B1285" t="s">
        <v>60</v>
      </c>
      <c r="C1285" t="s">
        <v>42</v>
      </c>
      <c r="D1285" s="2">
        <v>63415</v>
      </c>
      <c r="E1285" s="2">
        <v>806555</v>
      </c>
      <c r="F1285" s="3">
        <v>78092</v>
      </c>
    </row>
    <row r="1286" spans="1:6" x14ac:dyDescent="0.3">
      <c r="A1286">
        <v>2018</v>
      </c>
      <c r="B1286" t="s">
        <v>60</v>
      </c>
      <c r="C1286" t="s">
        <v>43</v>
      </c>
      <c r="D1286" s="2">
        <v>8651</v>
      </c>
      <c r="E1286" s="2">
        <v>68430</v>
      </c>
      <c r="F1286" s="3">
        <v>68957</v>
      </c>
    </row>
    <row r="1287" spans="1:6" x14ac:dyDescent="0.3">
      <c r="A1287">
        <v>2018</v>
      </c>
      <c r="B1287" t="s">
        <v>60</v>
      </c>
      <c r="C1287" t="s">
        <v>44</v>
      </c>
      <c r="D1287" s="2">
        <v>26993</v>
      </c>
      <c r="E1287" s="2">
        <v>293499</v>
      </c>
      <c r="F1287" s="3">
        <v>50391</v>
      </c>
    </row>
    <row r="1288" spans="1:6" x14ac:dyDescent="0.3">
      <c r="A1288">
        <v>2018</v>
      </c>
      <c r="B1288" t="s">
        <v>60</v>
      </c>
      <c r="C1288" t="s">
        <v>45</v>
      </c>
      <c r="D1288" s="2">
        <v>5205</v>
      </c>
      <c r="E1288" s="2">
        <v>32354</v>
      </c>
      <c r="F1288" s="3">
        <v>56384</v>
      </c>
    </row>
    <row r="1289" spans="1:6" x14ac:dyDescent="0.3">
      <c r="A1289">
        <v>2018</v>
      </c>
      <c r="B1289" t="s">
        <v>60</v>
      </c>
      <c r="C1289" t="s">
        <v>46</v>
      </c>
      <c r="D1289" s="2">
        <v>29519</v>
      </c>
      <c r="E1289" s="2">
        <v>417345</v>
      </c>
      <c r="F1289" s="3">
        <v>59851</v>
      </c>
    </row>
    <row r="1290" spans="1:6" x14ac:dyDescent="0.3">
      <c r="A1290">
        <v>2018</v>
      </c>
      <c r="B1290" t="s">
        <v>60</v>
      </c>
      <c r="C1290" t="s">
        <v>47</v>
      </c>
      <c r="D1290" s="2">
        <v>134025</v>
      </c>
      <c r="E1290" s="2">
        <v>1736415</v>
      </c>
      <c r="F1290" s="3">
        <v>74443</v>
      </c>
    </row>
    <row r="1291" spans="1:6" x14ac:dyDescent="0.3">
      <c r="A1291">
        <v>2018</v>
      </c>
      <c r="B1291" t="s">
        <v>60</v>
      </c>
      <c r="C1291" t="s">
        <v>48</v>
      </c>
      <c r="D1291" s="2">
        <v>23036</v>
      </c>
      <c r="E1291" s="2">
        <v>215564</v>
      </c>
      <c r="F1291" s="3">
        <v>59543</v>
      </c>
    </row>
    <row r="1292" spans="1:6" x14ac:dyDescent="0.3">
      <c r="A1292">
        <v>2018</v>
      </c>
      <c r="B1292" t="s">
        <v>60</v>
      </c>
      <c r="C1292" t="s">
        <v>49</v>
      </c>
      <c r="D1292" s="2">
        <v>5661</v>
      </c>
      <c r="E1292" s="2">
        <v>28976</v>
      </c>
      <c r="F1292" s="3">
        <v>64917</v>
      </c>
    </row>
    <row r="1293" spans="1:6" x14ac:dyDescent="0.3">
      <c r="A1293">
        <v>2018</v>
      </c>
      <c r="B1293" t="s">
        <v>60</v>
      </c>
      <c r="C1293" t="s">
        <v>50</v>
      </c>
      <c r="D1293" s="2">
        <v>58849</v>
      </c>
      <c r="E1293" s="2">
        <v>746452</v>
      </c>
      <c r="F1293" s="3">
        <v>87511</v>
      </c>
    </row>
    <row r="1294" spans="1:6" x14ac:dyDescent="0.3">
      <c r="A1294">
        <v>2018</v>
      </c>
      <c r="B1294" t="s">
        <v>60</v>
      </c>
      <c r="C1294" t="s">
        <v>51</v>
      </c>
      <c r="D1294" s="2">
        <v>40209</v>
      </c>
      <c r="E1294" s="2">
        <v>414712</v>
      </c>
      <c r="F1294" s="3">
        <v>82245</v>
      </c>
    </row>
    <row r="1295" spans="1:6" x14ac:dyDescent="0.3">
      <c r="A1295">
        <v>2018</v>
      </c>
      <c r="B1295" t="s">
        <v>60</v>
      </c>
      <c r="C1295" t="s">
        <v>52</v>
      </c>
      <c r="D1295" s="2">
        <v>8323</v>
      </c>
      <c r="E1295" s="2">
        <v>68965</v>
      </c>
      <c r="F1295" s="3">
        <v>51745</v>
      </c>
    </row>
    <row r="1296" spans="1:6" x14ac:dyDescent="0.3">
      <c r="A1296">
        <v>2018</v>
      </c>
      <c r="B1296" t="s">
        <v>60</v>
      </c>
      <c r="C1296" t="s">
        <v>53</v>
      </c>
      <c r="D1296" s="2">
        <v>25856</v>
      </c>
      <c r="E1296" s="2">
        <v>327719</v>
      </c>
      <c r="F1296" s="3">
        <v>60773</v>
      </c>
    </row>
    <row r="1297" spans="1:6" x14ac:dyDescent="0.3">
      <c r="A1297">
        <v>2018</v>
      </c>
      <c r="B1297" t="s">
        <v>60</v>
      </c>
      <c r="C1297" t="s">
        <v>54</v>
      </c>
      <c r="D1297" s="2">
        <v>4559</v>
      </c>
      <c r="E1297" s="2">
        <v>18733</v>
      </c>
      <c r="F1297" s="3">
        <v>52783</v>
      </c>
    </row>
    <row r="1298" spans="1:6" x14ac:dyDescent="0.3">
      <c r="A1298">
        <v>2018</v>
      </c>
      <c r="B1298" t="s">
        <v>61</v>
      </c>
      <c r="C1298" t="s">
        <v>7</v>
      </c>
      <c r="D1298" s="2">
        <v>12678</v>
      </c>
      <c r="E1298" s="2">
        <v>233306</v>
      </c>
      <c r="F1298" s="3">
        <v>46432</v>
      </c>
    </row>
    <row r="1299" spans="1:6" x14ac:dyDescent="0.3">
      <c r="A1299">
        <v>2018</v>
      </c>
      <c r="B1299" t="s">
        <v>61</v>
      </c>
      <c r="C1299" t="s">
        <v>8</v>
      </c>
      <c r="D1299" s="2">
        <v>18037</v>
      </c>
      <c r="E1299" s="2">
        <v>440616</v>
      </c>
      <c r="F1299" s="3">
        <v>51125</v>
      </c>
    </row>
    <row r="1300" spans="1:6" x14ac:dyDescent="0.3">
      <c r="A1300">
        <v>2018</v>
      </c>
      <c r="B1300" t="s">
        <v>61</v>
      </c>
      <c r="C1300" t="s">
        <v>9</v>
      </c>
      <c r="D1300" s="2">
        <v>15788</v>
      </c>
      <c r="E1300" s="2">
        <v>186119</v>
      </c>
      <c r="F1300" s="3">
        <v>42468</v>
      </c>
    </row>
    <row r="1301" spans="1:6" x14ac:dyDescent="0.3">
      <c r="A1301">
        <v>2018</v>
      </c>
      <c r="B1301" t="s">
        <v>61</v>
      </c>
      <c r="C1301" t="s">
        <v>10</v>
      </c>
      <c r="D1301" s="2">
        <v>618901</v>
      </c>
      <c r="E1301" s="2">
        <v>2649228</v>
      </c>
      <c r="F1301" s="3">
        <v>52187</v>
      </c>
    </row>
    <row r="1302" spans="1:6" x14ac:dyDescent="0.3">
      <c r="A1302">
        <v>2018</v>
      </c>
      <c r="B1302" t="s">
        <v>61</v>
      </c>
      <c r="C1302" t="s">
        <v>11</v>
      </c>
      <c r="D1302" s="2">
        <v>21666</v>
      </c>
      <c r="E1302" s="2">
        <v>335274</v>
      </c>
      <c r="F1302" s="3">
        <v>50156</v>
      </c>
    </row>
    <row r="1303" spans="1:6" x14ac:dyDescent="0.3">
      <c r="A1303">
        <v>2018</v>
      </c>
      <c r="B1303" t="s">
        <v>61</v>
      </c>
      <c r="C1303" t="s">
        <v>12</v>
      </c>
      <c r="D1303" s="2">
        <v>13090</v>
      </c>
      <c r="E1303" s="2">
        <v>326866</v>
      </c>
      <c r="F1303" s="3">
        <v>55369</v>
      </c>
    </row>
    <row r="1304" spans="1:6" x14ac:dyDescent="0.3">
      <c r="A1304">
        <v>2018</v>
      </c>
      <c r="B1304" t="s">
        <v>61</v>
      </c>
      <c r="C1304" t="s">
        <v>13</v>
      </c>
      <c r="D1304" s="2">
        <v>5063</v>
      </c>
      <c r="E1304" s="2">
        <v>75524</v>
      </c>
      <c r="F1304" s="3">
        <v>53795</v>
      </c>
    </row>
    <row r="1305" spans="1:6" x14ac:dyDescent="0.3">
      <c r="A1305">
        <v>2018</v>
      </c>
      <c r="B1305" t="s">
        <v>61</v>
      </c>
      <c r="C1305" t="s">
        <v>14</v>
      </c>
      <c r="D1305" s="2">
        <v>73761</v>
      </c>
      <c r="E1305" s="2">
        <v>1287814</v>
      </c>
      <c r="F1305" s="3">
        <v>50781</v>
      </c>
    </row>
    <row r="1306" spans="1:6" x14ac:dyDescent="0.3">
      <c r="A1306">
        <v>2018</v>
      </c>
      <c r="B1306" t="s">
        <v>61</v>
      </c>
      <c r="C1306" t="s">
        <v>15</v>
      </c>
      <c r="D1306" s="2">
        <v>28952</v>
      </c>
      <c r="E1306" s="2">
        <v>562436</v>
      </c>
      <c r="F1306" s="3">
        <v>52062</v>
      </c>
    </row>
    <row r="1307" spans="1:6" x14ac:dyDescent="0.3">
      <c r="A1307">
        <v>2018</v>
      </c>
      <c r="B1307" t="s">
        <v>61</v>
      </c>
      <c r="C1307" t="s">
        <v>16</v>
      </c>
      <c r="D1307" s="2">
        <v>7824</v>
      </c>
      <c r="E1307" s="2">
        <v>100212</v>
      </c>
      <c r="F1307" s="3">
        <v>42047</v>
      </c>
    </row>
    <row r="1308" spans="1:6" x14ac:dyDescent="0.3">
      <c r="A1308">
        <v>2018</v>
      </c>
      <c r="B1308" t="s">
        <v>61</v>
      </c>
      <c r="C1308" t="s">
        <v>17</v>
      </c>
      <c r="D1308" s="2">
        <v>34720</v>
      </c>
      <c r="E1308" s="2">
        <v>919288</v>
      </c>
      <c r="F1308" s="3">
        <v>50959</v>
      </c>
    </row>
    <row r="1309" spans="1:6" x14ac:dyDescent="0.3">
      <c r="A1309">
        <v>2018</v>
      </c>
      <c r="B1309" t="s">
        <v>61</v>
      </c>
      <c r="C1309" t="s">
        <v>18</v>
      </c>
      <c r="D1309" s="2">
        <v>15692</v>
      </c>
      <c r="E1309" s="2">
        <v>459398</v>
      </c>
      <c r="F1309" s="3">
        <v>47681</v>
      </c>
    </row>
    <row r="1310" spans="1:6" x14ac:dyDescent="0.3">
      <c r="A1310">
        <v>2018</v>
      </c>
      <c r="B1310" t="s">
        <v>61</v>
      </c>
      <c r="C1310" t="s">
        <v>19</v>
      </c>
      <c r="D1310" s="2">
        <v>11589</v>
      </c>
      <c r="E1310" s="2">
        <v>219674</v>
      </c>
      <c r="F1310" s="3">
        <v>43022</v>
      </c>
    </row>
    <row r="1311" spans="1:6" x14ac:dyDescent="0.3">
      <c r="A1311">
        <v>2018</v>
      </c>
      <c r="B1311" t="s">
        <v>61</v>
      </c>
      <c r="C1311" t="s">
        <v>20</v>
      </c>
      <c r="D1311" s="2">
        <v>10277</v>
      </c>
      <c r="E1311" s="2">
        <v>195132</v>
      </c>
      <c r="F1311" s="3">
        <v>42586</v>
      </c>
    </row>
    <row r="1312" spans="1:6" x14ac:dyDescent="0.3">
      <c r="A1312">
        <v>2018</v>
      </c>
      <c r="B1312" t="s">
        <v>61</v>
      </c>
      <c r="C1312" t="s">
        <v>21</v>
      </c>
      <c r="D1312" s="2">
        <v>18161</v>
      </c>
      <c r="E1312" s="2">
        <v>267486</v>
      </c>
      <c r="F1312" s="3">
        <v>48210</v>
      </c>
    </row>
    <row r="1313" spans="1:6" x14ac:dyDescent="0.3">
      <c r="A1313">
        <v>2018</v>
      </c>
      <c r="B1313" t="s">
        <v>61</v>
      </c>
      <c r="C1313" t="s">
        <v>22</v>
      </c>
      <c r="D1313" s="2">
        <v>15480</v>
      </c>
      <c r="E1313" s="2">
        <v>300015</v>
      </c>
      <c r="F1313" s="3">
        <v>43339</v>
      </c>
    </row>
    <row r="1314" spans="1:6" x14ac:dyDescent="0.3">
      <c r="A1314">
        <v>2018</v>
      </c>
      <c r="B1314" t="s">
        <v>61</v>
      </c>
      <c r="C1314" t="s">
        <v>23</v>
      </c>
      <c r="D1314" s="2">
        <v>5483</v>
      </c>
      <c r="E1314" s="2">
        <v>118009</v>
      </c>
      <c r="F1314" s="3">
        <v>47535</v>
      </c>
    </row>
    <row r="1315" spans="1:6" x14ac:dyDescent="0.3">
      <c r="A1315">
        <v>2018</v>
      </c>
      <c r="B1315" t="s">
        <v>61</v>
      </c>
      <c r="C1315" t="s">
        <v>24</v>
      </c>
      <c r="D1315" s="2">
        <v>20856</v>
      </c>
      <c r="E1315" s="2">
        <v>445328</v>
      </c>
      <c r="F1315" s="3">
        <v>54310</v>
      </c>
    </row>
    <row r="1316" spans="1:6" x14ac:dyDescent="0.3">
      <c r="A1316">
        <v>2018</v>
      </c>
      <c r="B1316" t="s">
        <v>61</v>
      </c>
      <c r="C1316" t="s">
        <v>25</v>
      </c>
      <c r="D1316" s="2">
        <v>66364</v>
      </c>
      <c r="E1316" s="2">
        <v>773683</v>
      </c>
      <c r="F1316" s="3">
        <v>58448</v>
      </c>
    </row>
    <row r="1317" spans="1:6" x14ac:dyDescent="0.3">
      <c r="A1317">
        <v>2018</v>
      </c>
      <c r="B1317" t="s">
        <v>61</v>
      </c>
      <c r="C1317" t="s">
        <v>26</v>
      </c>
      <c r="D1317" s="2">
        <v>24822</v>
      </c>
      <c r="E1317" s="2">
        <v>659230</v>
      </c>
      <c r="F1317" s="3">
        <v>49739</v>
      </c>
    </row>
    <row r="1318" spans="1:6" x14ac:dyDescent="0.3">
      <c r="A1318">
        <v>2018</v>
      </c>
      <c r="B1318" t="s">
        <v>61</v>
      </c>
      <c r="C1318" t="s">
        <v>27</v>
      </c>
      <c r="D1318" s="2">
        <v>19210</v>
      </c>
      <c r="E1318" s="2">
        <v>526556</v>
      </c>
      <c r="F1318" s="3">
        <v>51469</v>
      </c>
    </row>
    <row r="1319" spans="1:6" x14ac:dyDescent="0.3">
      <c r="A1319">
        <v>2018</v>
      </c>
      <c r="B1319" t="s">
        <v>61</v>
      </c>
      <c r="C1319" t="s">
        <v>28</v>
      </c>
      <c r="D1319" s="2">
        <v>7531</v>
      </c>
      <c r="E1319" s="2">
        <v>144105</v>
      </c>
      <c r="F1319" s="3">
        <v>41620</v>
      </c>
    </row>
    <row r="1320" spans="1:6" x14ac:dyDescent="0.3">
      <c r="A1320">
        <v>2018</v>
      </c>
      <c r="B1320" t="s">
        <v>61</v>
      </c>
      <c r="C1320" t="s">
        <v>29</v>
      </c>
      <c r="D1320" s="2">
        <v>48555</v>
      </c>
      <c r="E1320" s="2">
        <v>454728</v>
      </c>
      <c r="F1320" s="3">
        <v>46127</v>
      </c>
    </row>
    <row r="1321" spans="1:6" x14ac:dyDescent="0.3">
      <c r="A1321">
        <v>2018</v>
      </c>
      <c r="B1321" t="s">
        <v>61</v>
      </c>
      <c r="C1321" t="s">
        <v>30</v>
      </c>
      <c r="D1321" s="2">
        <v>4637</v>
      </c>
      <c r="E1321" s="2">
        <v>73530</v>
      </c>
      <c r="F1321" s="3">
        <v>47539</v>
      </c>
    </row>
    <row r="1322" spans="1:6" x14ac:dyDescent="0.3">
      <c r="A1322">
        <v>2018</v>
      </c>
      <c r="B1322" t="s">
        <v>61</v>
      </c>
      <c r="C1322" t="s">
        <v>31</v>
      </c>
      <c r="D1322" s="2">
        <v>12205</v>
      </c>
      <c r="E1322" s="2">
        <v>138155</v>
      </c>
      <c r="F1322" s="3">
        <v>46678</v>
      </c>
    </row>
    <row r="1323" spans="1:6" x14ac:dyDescent="0.3">
      <c r="A1323">
        <v>2018</v>
      </c>
      <c r="B1323" t="s">
        <v>61</v>
      </c>
      <c r="C1323" t="s">
        <v>32</v>
      </c>
      <c r="D1323" s="2">
        <v>8913</v>
      </c>
      <c r="E1323" s="2">
        <v>139036</v>
      </c>
      <c r="F1323" s="3">
        <v>54167</v>
      </c>
    </row>
    <row r="1324" spans="1:6" x14ac:dyDescent="0.3">
      <c r="A1324">
        <v>2018</v>
      </c>
      <c r="B1324" t="s">
        <v>61</v>
      </c>
      <c r="C1324" t="s">
        <v>33</v>
      </c>
      <c r="D1324" s="2">
        <v>4700</v>
      </c>
      <c r="E1324" s="2">
        <v>112567</v>
      </c>
      <c r="F1324" s="3">
        <v>56317</v>
      </c>
    </row>
    <row r="1325" spans="1:6" x14ac:dyDescent="0.3">
      <c r="A1325">
        <v>2018</v>
      </c>
      <c r="B1325" t="s">
        <v>61</v>
      </c>
      <c r="C1325" t="s">
        <v>34</v>
      </c>
      <c r="D1325" s="2">
        <v>37328</v>
      </c>
      <c r="E1325" s="2">
        <v>656716</v>
      </c>
      <c r="F1325" s="3">
        <v>53402</v>
      </c>
    </row>
    <row r="1326" spans="1:6" x14ac:dyDescent="0.3">
      <c r="A1326">
        <v>2018</v>
      </c>
      <c r="B1326" t="s">
        <v>61</v>
      </c>
      <c r="C1326" t="s">
        <v>35</v>
      </c>
      <c r="D1326" s="2">
        <v>10221</v>
      </c>
      <c r="E1326" s="2">
        <v>128590</v>
      </c>
      <c r="F1326" s="3">
        <v>41645</v>
      </c>
    </row>
    <row r="1327" spans="1:6" x14ac:dyDescent="0.3">
      <c r="A1327">
        <v>2018</v>
      </c>
      <c r="B1327" t="s">
        <v>61</v>
      </c>
      <c r="C1327" t="s">
        <v>36</v>
      </c>
      <c r="D1327" s="2">
        <v>67399</v>
      </c>
      <c r="E1327" s="2">
        <v>1914153</v>
      </c>
      <c r="F1327" s="3">
        <v>53467</v>
      </c>
    </row>
    <row r="1328" spans="1:6" x14ac:dyDescent="0.3">
      <c r="A1328">
        <v>2018</v>
      </c>
      <c r="B1328" t="s">
        <v>61</v>
      </c>
      <c r="C1328" t="s">
        <v>37</v>
      </c>
      <c r="D1328" s="2">
        <v>27210</v>
      </c>
      <c r="E1328" s="2">
        <v>592067</v>
      </c>
      <c r="F1328" s="3">
        <v>48381</v>
      </c>
    </row>
    <row r="1329" spans="1:6" x14ac:dyDescent="0.3">
      <c r="A1329">
        <v>2018</v>
      </c>
      <c r="B1329" t="s">
        <v>61</v>
      </c>
      <c r="C1329" t="s">
        <v>38</v>
      </c>
      <c r="D1329" s="2">
        <v>2558</v>
      </c>
      <c r="E1329" s="2">
        <v>62184</v>
      </c>
      <c r="F1329" s="3">
        <v>51404</v>
      </c>
    </row>
    <row r="1330" spans="1:6" x14ac:dyDescent="0.3">
      <c r="A1330">
        <v>2018</v>
      </c>
      <c r="B1330" t="s">
        <v>61</v>
      </c>
      <c r="C1330" t="s">
        <v>39</v>
      </c>
      <c r="D1330" s="2">
        <v>34508</v>
      </c>
      <c r="E1330" s="2">
        <v>904140</v>
      </c>
      <c r="F1330" s="3">
        <v>46408</v>
      </c>
    </row>
    <row r="1331" spans="1:6" x14ac:dyDescent="0.3">
      <c r="A1331">
        <v>2018</v>
      </c>
      <c r="B1331" t="s">
        <v>61</v>
      </c>
      <c r="C1331" t="s">
        <v>40</v>
      </c>
      <c r="D1331" s="2">
        <v>13563</v>
      </c>
      <c r="E1331" s="2">
        <v>209863</v>
      </c>
      <c r="F1331" s="3">
        <v>45570</v>
      </c>
    </row>
    <row r="1332" spans="1:6" x14ac:dyDescent="0.3">
      <c r="A1332">
        <v>2018</v>
      </c>
      <c r="B1332" t="s">
        <v>61</v>
      </c>
      <c r="C1332" t="s">
        <v>41</v>
      </c>
      <c r="D1332" s="2">
        <v>15708</v>
      </c>
      <c r="E1332" s="2">
        <v>288939</v>
      </c>
      <c r="F1332" s="3">
        <v>50107</v>
      </c>
    </row>
    <row r="1333" spans="1:6" x14ac:dyDescent="0.3">
      <c r="A1333">
        <v>2018</v>
      </c>
      <c r="B1333" t="s">
        <v>61</v>
      </c>
      <c r="C1333" t="s">
        <v>42</v>
      </c>
      <c r="D1333" s="2">
        <v>57768</v>
      </c>
      <c r="E1333" s="2">
        <v>1209344</v>
      </c>
      <c r="F1333" s="3">
        <v>51808</v>
      </c>
    </row>
    <row r="1334" spans="1:6" x14ac:dyDescent="0.3">
      <c r="A1334">
        <v>2018</v>
      </c>
      <c r="B1334" t="s">
        <v>61</v>
      </c>
      <c r="C1334" t="s">
        <v>43</v>
      </c>
      <c r="D1334" s="2">
        <v>4545</v>
      </c>
      <c r="E1334" s="2">
        <v>100506</v>
      </c>
      <c r="F1334" s="3">
        <v>48716</v>
      </c>
    </row>
    <row r="1335" spans="1:6" x14ac:dyDescent="0.3">
      <c r="A1335">
        <v>2018</v>
      </c>
      <c r="B1335" t="s">
        <v>61</v>
      </c>
      <c r="C1335" t="s">
        <v>44</v>
      </c>
      <c r="D1335" s="2">
        <v>11971</v>
      </c>
      <c r="E1335" s="2">
        <v>234487</v>
      </c>
      <c r="F1335" s="3">
        <v>45993</v>
      </c>
    </row>
    <row r="1336" spans="1:6" x14ac:dyDescent="0.3">
      <c r="A1336">
        <v>2018</v>
      </c>
      <c r="B1336" t="s">
        <v>61</v>
      </c>
      <c r="C1336" t="s">
        <v>45</v>
      </c>
      <c r="D1336" s="2">
        <v>2839</v>
      </c>
      <c r="E1336" s="2">
        <v>67868</v>
      </c>
      <c r="F1336" s="3">
        <v>50399</v>
      </c>
    </row>
    <row r="1337" spans="1:6" x14ac:dyDescent="0.3">
      <c r="A1337">
        <v>2018</v>
      </c>
      <c r="B1337" t="s">
        <v>61</v>
      </c>
      <c r="C1337" t="s">
        <v>46</v>
      </c>
      <c r="D1337" s="2">
        <v>16127</v>
      </c>
      <c r="E1337" s="2">
        <v>420817</v>
      </c>
      <c r="F1337" s="3">
        <v>52099</v>
      </c>
    </row>
    <row r="1338" spans="1:6" x14ac:dyDescent="0.3">
      <c r="A1338">
        <v>2018</v>
      </c>
      <c r="B1338" t="s">
        <v>61</v>
      </c>
      <c r="C1338" t="s">
        <v>47</v>
      </c>
      <c r="D1338" s="2">
        <v>90552</v>
      </c>
      <c r="E1338" s="2">
        <v>1641637</v>
      </c>
      <c r="F1338" s="3">
        <v>48036</v>
      </c>
    </row>
    <row r="1339" spans="1:6" x14ac:dyDescent="0.3">
      <c r="A1339">
        <v>2018</v>
      </c>
      <c r="B1339" t="s">
        <v>61</v>
      </c>
      <c r="C1339" t="s">
        <v>48</v>
      </c>
      <c r="D1339" s="2">
        <v>12264</v>
      </c>
      <c r="E1339" s="2">
        <v>186785</v>
      </c>
      <c r="F1339" s="3">
        <v>43696</v>
      </c>
    </row>
    <row r="1340" spans="1:6" x14ac:dyDescent="0.3">
      <c r="A1340">
        <v>2018</v>
      </c>
      <c r="B1340" t="s">
        <v>61</v>
      </c>
      <c r="C1340" t="s">
        <v>49</v>
      </c>
      <c r="D1340" s="2">
        <v>2463</v>
      </c>
      <c r="E1340" s="2">
        <v>62630</v>
      </c>
      <c r="F1340" s="3">
        <v>46699</v>
      </c>
    </row>
    <row r="1341" spans="1:6" x14ac:dyDescent="0.3">
      <c r="A1341">
        <v>2018</v>
      </c>
      <c r="B1341" t="s">
        <v>61</v>
      </c>
      <c r="C1341" t="s">
        <v>50</v>
      </c>
      <c r="D1341" s="2">
        <v>43566</v>
      </c>
      <c r="E1341" s="2">
        <v>505487</v>
      </c>
      <c r="F1341" s="3">
        <v>49627</v>
      </c>
    </row>
    <row r="1342" spans="1:6" x14ac:dyDescent="0.3">
      <c r="A1342">
        <v>2018</v>
      </c>
      <c r="B1342" t="s">
        <v>61</v>
      </c>
      <c r="C1342" t="s">
        <v>51</v>
      </c>
      <c r="D1342" s="2">
        <v>61026</v>
      </c>
      <c r="E1342" s="2">
        <v>465717</v>
      </c>
      <c r="F1342" s="3">
        <v>51354</v>
      </c>
    </row>
    <row r="1343" spans="1:6" x14ac:dyDescent="0.3">
      <c r="A1343">
        <v>2018</v>
      </c>
      <c r="B1343" t="s">
        <v>61</v>
      </c>
      <c r="C1343" t="s">
        <v>52</v>
      </c>
      <c r="D1343" s="2">
        <v>5765</v>
      </c>
      <c r="E1343" s="2">
        <v>124431</v>
      </c>
      <c r="F1343" s="3">
        <v>46182</v>
      </c>
    </row>
    <row r="1344" spans="1:6" x14ac:dyDescent="0.3">
      <c r="A1344">
        <v>2018</v>
      </c>
      <c r="B1344" t="s">
        <v>61</v>
      </c>
      <c r="C1344" t="s">
        <v>53</v>
      </c>
      <c r="D1344" s="2">
        <v>28013</v>
      </c>
      <c r="E1344" s="2">
        <v>434143</v>
      </c>
      <c r="F1344" s="3">
        <v>49195</v>
      </c>
    </row>
    <row r="1345" spans="1:6" x14ac:dyDescent="0.3">
      <c r="A1345">
        <v>2018</v>
      </c>
      <c r="B1345" t="s">
        <v>61</v>
      </c>
      <c r="C1345" t="s">
        <v>54</v>
      </c>
      <c r="D1345" s="2">
        <v>3338</v>
      </c>
      <c r="E1345" s="2">
        <v>26972</v>
      </c>
      <c r="F1345" s="3">
        <v>42906</v>
      </c>
    </row>
    <row r="1346" spans="1:6" x14ac:dyDescent="0.3">
      <c r="A1346">
        <v>2018</v>
      </c>
      <c r="B1346" t="s">
        <v>62</v>
      </c>
      <c r="C1346" t="s">
        <v>7</v>
      </c>
      <c r="D1346" s="2">
        <v>10993</v>
      </c>
      <c r="E1346" s="2">
        <v>205942</v>
      </c>
      <c r="F1346" s="3">
        <v>16798</v>
      </c>
    </row>
    <row r="1347" spans="1:6" x14ac:dyDescent="0.3">
      <c r="A1347">
        <v>2018</v>
      </c>
      <c r="B1347" t="s">
        <v>62</v>
      </c>
      <c r="C1347" t="s">
        <v>8</v>
      </c>
      <c r="D1347" s="2">
        <v>13627</v>
      </c>
      <c r="E1347" s="2">
        <v>325897</v>
      </c>
      <c r="F1347" s="3">
        <v>24580</v>
      </c>
    </row>
    <row r="1348" spans="1:6" x14ac:dyDescent="0.3">
      <c r="A1348">
        <v>2018</v>
      </c>
      <c r="B1348" t="s">
        <v>62</v>
      </c>
      <c r="C1348" t="s">
        <v>9</v>
      </c>
      <c r="D1348" s="2">
        <v>7168</v>
      </c>
      <c r="E1348" s="2">
        <v>118405</v>
      </c>
      <c r="F1348" s="3">
        <v>16536</v>
      </c>
    </row>
    <row r="1349" spans="1:6" x14ac:dyDescent="0.3">
      <c r="A1349">
        <v>2018</v>
      </c>
      <c r="B1349" t="s">
        <v>62</v>
      </c>
      <c r="C1349" t="s">
        <v>10</v>
      </c>
      <c r="D1349" s="2">
        <v>111455</v>
      </c>
      <c r="E1349" s="2">
        <v>1988750</v>
      </c>
      <c r="F1349" s="3">
        <v>30527</v>
      </c>
    </row>
    <row r="1350" spans="1:6" x14ac:dyDescent="0.3">
      <c r="A1350">
        <v>2018</v>
      </c>
      <c r="B1350" t="s">
        <v>62</v>
      </c>
      <c r="C1350" t="s">
        <v>11</v>
      </c>
      <c r="D1350" s="2">
        <v>16939</v>
      </c>
      <c r="E1350" s="2">
        <v>339407</v>
      </c>
      <c r="F1350" s="3">
        <v>25878</v>
      </c>
    </row>
    <row r="1351" spans="1:6" x14ac:dyDescent="0.3">
      <c r="A1351">
        <v>2018</v>
      </c>
      <c r="B1351" t="s">
        <v>62</v>
      </c>
      <c r="C1351" t="s">
        <v>12</v>
      </c>
      <c r="D1351" s="2">
        <v>10668</v>
      </c>
      <c r="E1351" s="2">
        <v>157709</v>
      </c>
      <c r="F1351" s="3">
        <v>23705</v>
      </c>
    </row>
    <row r="1352" spans="1:6" x14ac:dyDescent="0.3">
      <c r="A1352">
        <v>2018</v>
      </c>
      <c r="B1352" t="s">
        <v>62</v>
      </c>
      <c r="C1352" t="s">
        <v>13</v>
      </c>
      <c r="D1352" s="2">
        <v>2637</v>
      </c>
      <c r="E1352" s="2">
        <v>51696</v>
      </c>
      <c r="F1352" s="3">
        <v>20414</v>
      </c>
    </row>
    <row r="1353" spans="1:6" x14ac:dyDescent="0.3">
      <c r="A1353">
        <v>2018</v>
      </c>
      <c r="B1353" t="s">
        <v>62</v>
      </c>
      <c r="C1353" t="s">
        <v>14</v>
      </c>
      <c r="D1353" s="2">
        <v>56587</v>
      </c>
      <c r="E1353" s="2">
        <v>1226786</v>
      </c>
      <c r="F1353" s="3">
        <v>25881</v>
      </c>
    </row>
    <row r="1354" spans="1:6" x14ac:dyDescent="0.3">
      <c r="A1354">
        <v>2018</v>
      </c>
      <c r="B1354" t="s">
        <v>62</v>
      </c>
      <c r="C1354" t="s">
        <v>15</v>
      </c>
      <c r="D1354" s="2">
        <v>24275</v>
      </c>
      <c r="E1354" s="2">
        <v>487598</v>
      </c>
      <c r="F1354" s="3">
        <v>20604</v>
      </c>
    </row>
    <row r="1355" spans="1:6" x14ac:dyDescent="0.3">
      <c r="A1355">
        <v>2018</v>
      </c>
      <c r="B1355" t="s">
        <v>62</v>
      </c>
      <c r="C1355" t="s">
        <v>16</v>
      </c>
      <c r="D1355" s="2">
        <v>5008</v>
      </c>
      <c r="E1355" s="2">
        <v>78912</v>
      </c>
      <c r="F1355" s="3">
        <v>17141</v>
      </c>
    </row>
    <row r="1356" spans="1:6" x14ac:dyDescent="0.3">
      <c r="A1356">
        <v>2018</v>
      </c>
      <c r="B1356" t="s">
        <v>62</v>
      </c>
      <c r="C1356" t="s">
        <v>17</v>
      </c>
      <c r="D1356" s="2">
        <v>32619</v>
      </c>
      <c r="E1356" s="2">
        <v>617101</v>
      </c>
      <c r="F1356" s="3">
        <v>23765</v>
      </c>
    </row>
    <row r="1357" spans="1:6" x14ac:dyDescent="0.3">
      <c r="A1357">
        <v>2018</v>
      </c>
      <c r="B1357" t="s">
        <v>62</v>
      </c>
      <c r="C1357" t="s">
        <v>18</v>
      </c>
      <c r="D1357" s="2">
        <v>15564</v>
      </c>
      <c r="E1357" s="2">
        <v>310335</v>
      </c>
      <c r="F1357" s="3">
        <v>18981</v>
      </c>
    </row>
    <row r="1358" spans="1:6" x14ac:dyDescent="0.3">
      <c r="A1358">
        <v>2018</v>
      </c>
      <c r="B1358" t="s">
        <v>62</v>
      </c>
      <c r="C1358" t="s">
        <v>19</v>
      </c>
      <c r="D1358" s="2">
        <v>8670</v>
      </c>
      <c r="E1358" s="2">
        <v>143729</v>
      </c>
      <c r="F1358" s="3">
        <v>16799</v>
      </c>
    </row>
    <row r="1359" spans="1:6" x14ac:dyDescent="0.3">
      <c r="A1359">
        <v>2018</v>
      </c>
      <c r="B1359" t="s">
        <v>62</v>
      </c>
      <c r="C1359" t="s">
        <v>20</v>
      </c>
      <c r="D1359" s="2">
        <v>6895</v>
      </c>
      <c r="E1359" s="2">
        <v>129372</v>
      </c>
      <c r="F1359" s="3">
        <v>16764</v>
      </c>
    </row>
    <row r="1360" spans="1:6" x14ac:dyDescent="0.3">
      <c r="A1360">
        <v>2018</v>
      </c>
      <c r="B1360" t="s">
        <v>62</v>
      </c>
      <c r="C1360" t="s">
        <v>21</v>
      </c>
      <c r="D1360" s="2">
        <v>10080</v>
      </c>
      <c r="E1360" s="2">
        <v>197894</v>
      </c>
      <c r="F1360" s="3">
        <v>17719</v>
      </c>
    </row>
    <row r="1361" spans="1:6" x14ac:dyDescent="0.3">
      <c r="A1361">
        <v>2018</v>
      </c>
      <c r="B1361" t="s">
        <v>62</v>
      </c>
      <c r="C1361" t="s">
        <v>22</v>
      </c>
      <c r="D1361" s="2">
        <v>12415</v>
      </c>
      <c r="E1361" s="2">
        <v>236357</v>
      </c>
      <c r="F1361" s="3">
        <v>21264</v>
      </c>
    </row>
    <row r="1362" spans="1:6" x14ac:dyDescent="0.3">
      <c r="A1362">
        <v>2018</v>
      </c>
      <c r="B1362" t="s">
        <v>62</v>
      </c>
      <c r="C1362" t="s">
        <v>23</v>
      </c>
      <c r="D1362" s="2">
        <v>5047</v>
      </c>
      <c r="E1362" s="2">
        <v>68406</v>
      </c>
      <c r="F1362" s="3">
        <v>22087</v>
      </c>
    </row>
    <row r="1363" spans="1:6" x14ac:dyDescent="0.3">
      <c r="A1363">
        <v>2018</v>
      </c>
      <c r="B1363" t="s">
        <v>62</v>
      </c>
      <c r="C1363" t="s">
        <v>24</v>
      </c>
      <c r="D1363" s="2">
        <v>14772</v>
      </c>
      <c r="E1363" s="2">
        <v>282009</v>
      </c>
      <c r="F1363" s="3">
        <v>24012</v>
      </c>
    </row>
    <row r="1364" spans="1:6" x14ac:dyDescent="0.3">
      <c r="A1364">
        <v>2018</v>
      </c>
      <c r="B1364" t="s">
        <v>62</v>
      </c>
      <c r="C1364" t="s">
        <v>25</v>
      </c>
      <c r="D1364" s="2">
        <v>20642</v>
      </c>
      <c r="E1364" s="2">
        <v>375767</v>
      </c>
      <c r="F1364" s="3">
        <v>27758</v>
      </c>
    </row>
    <row r="1365" spans="1:6" x14ac:dyDescent="0.3">
      <c r="A1365">
        <v>2018</v>
      </c>
      <c r="B1365" t="s">
        <v>62</v>
      </c>
      <c r="C1365" t="s">
        <v>26</v>
      </c>
      <c r="D1365" s="2">
        <v>22025</v>
      </c>
      <c r="E1365" s="2">
        <v>432290</v>
      </c>
      <c r="F1365" s="3">
        <v>20566</v>
      </c>
    </row>
    <row r="1366" spans="1:6" x14ac:dyDescent="0.3">
      <c r="A1366">
        <v>2018</v>
      </c>
      <c r="B1366" t="s">
        <v>62</v>
      </c>
      <c r="C1366" t="s">
        <v>27</v>
      </c>
      <c r="D1366" s="2">
        <v>15294</v>
      </c>
      <c r="E1366" s="2">
        <v>272821</v>
      </c>
      <c r="F1366" s="3">
        <v>22507</v>
      </c>
    </row>
    <row r="1367" spans="1:6" x14ac:dyDescent="0.3">
      <c r="A1367">
        <v>2018</v>
      </c>
      <c r="B1367" t="s">
        <v>62</v>
      </c>
      <c r="C1367" t="s">
        <v>28</v>
      </c>
      <c r="D1367" s="2">
        <v>6464</v>
      </c>
      <c r="E1367" s="2">
        <v>134785</v>
      </c>
      <c r="F1367" s="3">
        <v>17523</v>
      </c>
    </row>
    <row r="1368" spans="1:6" x14ac:dyDescent="0.3">
      <c r="A1368">
        <v>2018</v>
      </c>
      <c r="B1368" t="s">
        <v>62</v>
      </c>
      <c r="C1368" t="s">
        <v>29</v>
      </c>
      <c r="D1368" s="2">
        <v>14797</v>
      </c>
      <c r="E1368" s="2">
        <v>305418</v>
      </c>
      <c r="F1368" s="3">
        <v>20892</v>
      </c>
    </row>
    <row r="1369" spans="1:6" x14ac:dyDescent="0.3">
      <c r="A1369">
        <v>2018</v>
      </c>
      <c r="B1369" t="s">
        <v>62</v>
      </c>
      <c r="C1369" t="s">
        <v>30</v>
      </c>
      <c r="D1369" s="2">
        <v>5071</v>
      </c>
      <c r="E1369" s="2">
        <v>66044</v>
      </c>
      <c r="F1369" s="3">
        <v>19150</v>
      </c>
    </row>
    <row r="1370" spans="1:6" x14ac:dyDescent="0.3">
      <c r="A1370">
        <v>2018</v>
      </c>
      <c r="B1370" t="s">
        <v>62</v>
      </c>
      <c r="C1370" t="s">
        <v>31</v>
      </c>
      <c r="D1370" s="2">
        <v>5561</v>
      </c>
      <c r="E1370" s="2">
        <v>92581</v>
      </c>
      <c r="F1370" s="3">
        <v>16715</v>
      </c>
    </row>
    <row r="1371" spans="1:6" x14ac:dyDescent="0.3">
      <c r="A1371">
        <v>2018</v>
      </c>
      <c r="B1371" t="s">
        <v>62</v>
      </c>
      <c r="C1371" t="s">
        <v>32</v>
      </c>
      <c r="D1371" s="2">
        <v>8499</v>
      </c>
      <c r="E1371" s="2">
        <v>352051</v>
      </c>
      <c r="F1371" s="3">
        <v>33688</v>
      </c>
    </row>
    <row r="1372" spans="1:6" x14ac:dyDescent="0.3">
      <c r="A1372">
        <v>2018</v>
      </c>
      <c r="B1372" t="s">
        <v>62</v>
      </c>
      <c r="C1372" t="s">
        <v>33</v>
      </c>
      <c r="D1372" s="2">
        <v>4595</v>
      </c>
      <c r="E1372" s="2">
        <v>71975</v>
      </c>
      <c r="F1372" s="3">
        <v>21945</v>
      </c>
    </row>
    <row r="1373" spans="1:6" x14ac:dyDescent="0.3">
      <c r="A1373">
        <v>2018</v>
      </c>
      <c r="B1373" t="s">
        <v>62</v>
      </c>
      <c r="C1373" t="s">
        <v>34</v>
      </c>
      <c r="D1373" s="2">
        <v>24132</v>
      </c>
      <c r="E1373" s="2">
        <v>385616</v>
      </c>
      <c r="F1373" s="3">
        <v>26316</v>
      </c>
    </row>
    <row r="1374" spans="1:6" x14ac:dyDescent="0.3">
      <c r="A1374">
        <v>2018</v>
      </c>
      <c r="B1374" t="s">
        <v>62</v>
      </c>
      <c r="C1374" t="s">
        <v>35</v>
      </c>
      <c r="D1374" s="2">
        <v>5107</v>
      </c>
      <c r="E1374" s="2">
        <v>97785</v>
      </c>
      <c r="F1374" s="3">
        <v>18651</v>
      </c>
    </row>
    <row r="1375" spans="1:6" x14ac:dyDescent="0.3">
      <c r="A1375">
        <v>2018</v>
      </c>
      <c r="B1375" t="s">
        <v>62</v>
      </c>
      <c r="C1375" t="s">
        <v>36</v>
      </c>
      <c r="D1375" s="2">
        <v>66285</v>
      </c>
      <c r="E1375" s="2">
        <v>957343</v>
      </c>
      <c r="F1375" s="3">
        <v>33850</v>
      </c>
    </row>
    <row r="1376" spans="1:6" x14ac:dyDescent="0.3">
      <c r="A1376">
        <v>2018</v>
      </c>
      <c r="B1376" t="s">
        <v>62</v>
      </c>
      <c r="C1376" t="s">
        <v>37</v>
      </c>
      <c r="D1376" s="2">
        <v>25859</v>
      </c>
      <c r="E1376" s="2">
        <v>502877</v>
      </c>
      <c r="F1376" s="3">
        <v>19767</v>
      </c>
    </row>
    <row r="1377" spans="1:6" x14ac:dyDescent="0.3">
      <c r="A1377">
        <v>2018</v>
      </c>
      <c r="B1377" t="s">
        <v>62</v>
      </c>
      <c r="C1377" t="s">
        <v>38</v>
      </c>
      <c r="D1377" s="2">
        <v>2627</v>
      </c>
      <c r="E1377" s="2">
        <v>40375</v>
      </c>
      <c r="F1377" s="3">
        <v>17889</v>
      </c>
    </row>
    <row r="1378" spans="1:6" x14ac:dyDescent="0.3">
      <c r="A1378">
        <v>2018</v>
      </c>
      <c r="B1378" t="s">
        <v>62</v>
      </c>
      <c r="C1378" t="s">
        <v>39</v>
      </c>
      <c r="D1378" s="2">
        <v>28523</v>
      </c>
      <c r="E1378" s="2">
        <v>566681</v>
      </c>
      <c r="F1378" s="3">
        <v>19459</v>
      </c>
    </row>
    <row r="1379" spans="1:6" x14ac:dyDescent="0.3">
      <c r="A1379">
        <v>2018</v>
      </c>
      <c r="B1379" t="s">
        <v>62</v>
      </c>
      <c r="C1379" t="s">
        <v>40</v>
      </c>
      <c r="D1379" s="2">
        <v>9140</v>
      </c>
      <c r="E1379" s="2">
        <v>171567</v>
      </c>
      <c r="F1379" s="3">
        <v>18204</v>
      </c>
    </row>
    <row r="1380" spans="1:6" x14ac:dyDescent="0.3">
      <c r="A1380">
        <v>2018</v>
      </c>
      <c r="B1380" t="s">
        <v>62</v>
      </c>
      <c r="C1380" t="s">
        <v>41</v>
      </c>
      <c r="D1380" s="2">
        <v>13794</v>
      </c>
      <c r="E1380" s="2">
        <v>210781</v>
      </c>
      <c r="F1380" s="3">
        <v>22754</v>
      </c>
    </row>
    <row r="1381" spans="1:6" x14ac:dyDescent="0.3">
      <c r="A1381">
        <v>2018</v>
      </c>
      <c r="B1381" t="s">
        <v>62</v>
      </c>
      <c r="C1381" t="s">
        <v>42</v>
      </c>
      <c r="D1381" s="2">
        <v>33471</v>
      </c>
      <c r="E1381" s="2">
        <v>571799</v>
      </c>
      <c r="F1381" s="3">
        <v>21102</v>
      </c>
    </row>
    <row r="1382" spans="1:6" x14ac:dyDescent="0.3">
      <c r="A1382">
        <v>2018</v>
      </c>
      <c r="B1382" t="s">
        <v>62</v>
      </c>
      <c r="C1382" t="s">
        <v>43</v>
      </c>
      <c r="D1382" s="2">
        <v>3748</v>
      </c>
      <c r="E1382" s="2">
        <v>59154</v>
      </c>
      <c r="F1382" s="3">
        <v>22818</v>
      </c>
    </row>
    <row r="1383" spans="1:6" x14ac:dyDescent="0.3">
      <c r="A1383">
        <v>2018</v>
      </c>
      <c r="B1383" t="s">
        <v>62</v>
      </c>
      <c r="C1383" t="s">
        <v>44</v>
      </c>
      <c r="D1383" s="2">
        <v>12841</v>
      </c>
      <c r="E1383" s="2">
        <v>263743</v>
      </c>
      <c r="F1383" s="3">
        <v>17991</v>
      </c>
    </row>
    <row r="1384" spans="1:6" x14ac:dyDescent="0.3">
      <c r="A1384">
        <v>2018</v>
      </c>
      <c r="B1384" t="s">
        <v>62</v>
      </c>
      <c r="C1384" t="s">
        <v>45</v>
      </c>
      <c r="D1384" s="2">
        <v>3149</v>
      </c>
      <c r="E1384" s="2">
        <v>47321</v>
      </c>
      <c r="F1384" s="3">
        <v>16954</v>
      </c>
    </row>
    <row r="1385" spans="1:6" x14ac:dyDescent="0.3">
      <c r="A1385">
        <v>2018</v>
      </c>
      <c r="B1385" t="s">
        <v>62</v>
      </c>
      <c r="C1385" t="s">
        <v>46</v>
      </c>
      <c r="D1385" s="2">
        <v>16427</v>
      </c>
      <c r="E1385" s="2">
        <v>337857</v>
      </c>
      <c r="F1385" s="3">
        <v>23524</v>
      </c>
    </row>
    <row r="1386" spans="1:6" x14ac:dyDescent="0.3">
      <c r="A1386">
        <v>2018</v>
      </c>
      <c r="B1386" t="s">
        <v>62</v>
      </c>
      <c r="C1386" t="s">
        <v>47</v>
      </c>
      <c r="D1386" s="2">
        <v>62760</v>
      </c>
      <c r="E1386" s="2">
        <v>1354468</v>
      </c>
      <c r="F1386" s="3">
        <v>21861</v>
      </c>
    </row>
    <row r="1387" spans="1:6" x14ac:dyDescent="0.3">
      <c r="A1387">
        <v>2018</v>
      </c>
      <c r="B1387" t="s">
        <v>62</v>
      </c>
      <c r="C1387" t="s">
        <v>48</v>
      </c>
      <c r="D1387" s="2">
        <v>7374</v>
      </c>
      <c r="E1387" s="2">
        <v>148446</v>
      </c>
      <c r="F1387" s="3">
        <v>20121</v>
      </c>
    </row>
    <row r="1388" spans="1:6" x14ac:dyDescent="0.3">
      <c r="A1388">
        <v>2018</v>
      </c>
      <c r="B1388" t="s">
        <v>62</v>
      </c>
      <c r="C1388" t="s">
        <v>49</v>
      </c>
      <c r="D1388" s="2">
        <v>2279</v>
      </c>
      <c r="E1388" s="2">
        <v>37198</v>
      </c>
      <c r="F1388" s="3">
        <v>23107</v>
      </c>
    </row>
    <row r="1389" spans="1:6" x14ac:dyDescent="0.3">
      <c r="A1389">
        <v>2018</v>
      </c>
      <c r="B1389" t="s">
        <v>62</v>
      </c>
      <c r="C1389" t="s">
        <v>50</v>
      </c>
      <c r="D1389" s="2">
        <v>20479</v>
      </c>
      <c r="E1389" s="2">
        <v>406321</v>
      </c>
      <c r="F1389" s="3">
        <v>20678</v>
      </c>
    </row>
    <row r="1390" spans="1:6" x14ac:dyDescent="0.3">
      <c r="A1390">
        <v>2018</v>
      </c>
      <c r="B1390" t="s">
        <v>62</v>
      </c>
      <c r="C1390" t="s">
        <v>51</v>
      </c>
      <c r="D1390" s="2">
        <v>20431</v>
      </c>
      <c r="E1390" s="2">
        <v>335635</v>
      </c>
      <c r="F1390" s="3">
        <v>25357</v>
      </c>
    </row>
    <row r="1391" spans="1:6" x14ac:dyDescent="0.3">
      <c r="A1391">
        <v>2018</v>
      </c>
      <c r="B1391" t="s">
        <v>62</v>
      </c>
      <c r="C1391" t="s">
        <v>52</v>
      </c>
      <c r="D1391" s="2">
        <v>4722</v>
      </c>
      <c r="E1391" s="2">
        <v>74133</v>
      </c>
      <c r="F1391" s="3">
        <v>17916</v>
      </c>
    </row>
    <row r="1392" spans="1:6" x14ac:dyDescent="0.3">
      <c r="A1392">
        <v>2018</v>
      </c>
      <c r="B1392" t="s">
        <v>62</v>
      </c>
      <c r="C1392" t="s">
        <v>53</v>
      </c>
      <c r="D1392" s="2">
        <v>16931</v>
      </c>
      <c r="E1392" s="2">
        <v>282313</v>
      </c>
      <c r="F1392" s="3">
        <v>18305</v>
      </c>
    </row>
    <row r="1393" spans="1:6" x14ac:dyDescent="0.3">
      <c r="A1393">
        <v>2018</v>
      </c>
      <c r="B1393" t="s">
        <v>62</v>
      </c>
      <c r="C1393" t="s">
        <v>54</v>
      </c>
      <c r="D1393" s="2">
        <v>2383</v>
      </c>
      <c r="E1393" s="2">
        <v>36403</v>
      </c>
      <c r="F1393" s="3">
        <v>21270</v>
      </c>
    </row>
    <row r="1394" spans="1:6" x14ac:dyDescent="0.3">
      <c r="A1394">
        <v>2018</v>
      </c>
      <c r="B1394" t="s">
        <v>63</v>
      </c>
      <c r="C1394" t="s">
        <v>7</v>
      </c>
      <c r="D1394" s="2">
        <v>10102</v>
      </c>
      <c r="E1394" s="2">
        <v>46094</v>
      </c>
      <c r="F1394" s="3">
        <v>37839</v>
      </c>
    </row>
    <row r="1395" spans="1:6" x14ac:dyDescent="0.3">
      <c r="A1395">
        <v>2018</v>
      </c>
      <c r="B1395" t="s">
        <v>63</v>
      </c>
      <c r="C1395" t="s">
        <v>8</v>
      </c>
      <c r="D1395" s="2">
        <v>11119</v>
      </c>
      <c r="E1395" s="2">
        <v>75319</v>
      </c>
      <c r="F1395" s="3">
        <v>37697</v>
      </c>
    </row>
    <row r="1396" spans="1:6" x14ac:dyDescent="0.3">
      <c r="A1396">
        <v>2018</v>
      </c>
      <c r="B1396" t="s">
        <v>63</v>
      </c>
      <c r="C1396" t="s">
        <v>9</v>
      </c>
      <c r="D1396" s="2">
        <v>5345</v>
      </c>
      <c r="E1396" s="2">
        <v>24966</v>
      </c>
      <c r="F1396" s="3">
        <v>34843</v>
      </c>
    </row>
    <row r="1397" spans="1:6" x14ac:dyDescent="0.3">
      <c r="A1397">
        <v>2018</v>
      </c>
      <c r="B1397" t="s">
        <v>63</v>
      </c>
      <c r="C1397" t="s">
        <v>10</v>
      </c>
      <c r="D1397" s="2">
        <v>95398</v>
      </c>
      <c r="E1397" s="2">
        <v>541832</v>
      </c>
      <c r="F1397" s="3">
        <v>40668</v>
      </c>
    </row>
    <row r="1398" spans="1:6" x14ac:dyDescent="0.3">
      <c r="A1398">
        <v>2018</v>
      </c>
      <c r="B1398" t="s">
        <v>63</v>
      </c>
      <c r="C1398" t="s">
        <v>11</v>
      </c>
      <c r="D1398" s="2">
        <v>16405</v>
      </c>
      <c r="E1398" s="2">
        <v>82040</v>
      </c>
      <c r="F1398" s="3">
        <v>40987</v>
      </c>
    </row>
    <row r="1399" spans="1:6" x14ac:dyDescent="0.3">
      <c r="A1399">
        <v>2018</v>
      </c>
      <c r="B1399" t="s">
        <v>63</v>
      </c>
      <c r="C1399" t="s">
        <v>12</v>
      </c>
      <c r="D1399" s="2">
        <v>17517</v>
      </c>
      <c r="E1399" s="2">
        <v>66913</v>
      </c>
      <c r="F1399" s="3">
        <v>33615</v>
      </c>
    </row>
    <row r="1400" spans="1:6" x14ac:dyDescent="0.3">
      <c r="A1400">
        <v>2018</v>
      </c>
      <c r="B1400" t="s">
        <v>63</v>
      </c>
      <c r="C1400" t="s">
        <v>13</v>
      </c>
      <c r="D1400" s="2">
        <v>2054</v>
      </c>
      <c r="E1400" s="2">
        <v>11930</v>
      </c>
      <c r="F1400" s="3">
        <v>34259</v>
      </c>
    </row>
    <row r="1401" spans="1:6" x14ac:dyDescent="0.3">
      <c r="A1401">
        <v>2018</v>
      </c>
      <c r="B1401" t="s">
        <v>63</v>
      </c>
      <c r="C1401" t="s">
        <v>14</v>
      </c>
      <c r="D1401" s="2">
        <v>55687</v>
      </c>
      <c r="E1401" s="2">
        <v>279269</v>
      </c>
      <c r="F1401" s="3">
        <v>36402</v>
      </c>
    </row>
    <row r="1402" spans="1:6" x14ac:dyDescent="0.3">
      <c r="A1402">
        <v>2018</v>
      </c>
      <c r="B1402" t="s">
        <v>63</v>
      </c>
      <c r="C1402" t="s">
        <v>15</v>
      </c>
      <c r="D1402" s="2">
        <v>17999</v>
      </c>
      <c r="E1402" s="2">
        <v>108656</v>
      </c>
      <c r="F1402" s="3">
        <v>36377</v>
      </c>
    </row>
    <row r="1403" spans="1:6" x14ac:dyDescent="0.3">
      <c r="A1403">
        <v>2018</v>
      </c>
      <c r="B1403" t="s">
        <v>63</v>
      </c>
      <c r="C1403" t="s">
        <v>16</v>
      </c>
      <c r="D1403" s="2">
        <v>3985</v>
      </c>
      <c r="E1403" s="2">
        <v>18622</v>
      </c>
      <c r="F1403" s="3">
        <v>31284</v>
      </c>
    </row>
    <row r="1404" spans="1:6" x14ac:dyDescent="0.3">
      <c r="A1404">
        <v>2018</v>
      </c>
      <c r="B1404" t="s">
        <v>63</v>
      </c>
      <c r="C1404" t="s">
        <v>17</v>
      </c>
      <c r="D1404" s="2">
        <v>39449</v>
      </c>
      <c r="E1404" s="2">
        <v>208655</v>
      </c>
      <c r="F1404" s="3">
        <v>42392</v>
      </c>
    </row>
    <row r="1405" spans="1:6" x14ac:dyDescent="0.3">
      <c r="A1405">
        <v>2018</v>
      </c>
      <c r="B1405" t="s">
        <v>63</v>
      </c>
      <c r="C1405" t="s">
        <v>18</v>
      </c>
      <c r="D1405" s="2">
        <v>13122</v>
      </c>
      <c r="E1405" s="2">
        <v>87997</v>
      </c>
      <c r="F1405" s="3">
        <v>32900</v>
      </c>
    </row>
    <row r="1406" spans="1:6" x14ac:dyDescent="0.3">
      <c r="A1406">
        <v>2018</v>
      </c>
      <c r="B1406" t="s">
        <v>63</v>
      </c>
      <c r="C1406" t="s">
        <v>19</v>
      </c>
      <c r="D1406" s="2">
        <v>8669</v>
      </c>
      <c r="E1406" s="2">
        <v>42339</v>
      </c>
      <c r="F1406" s="3">
        <v>34313</v>
      </c>
    </row>
    <row r="1407" spans="1:6" x14ac:dyDescent="0.3">
      <c r="A1407">
        <v>2018</v>
      </c>
      <c r="B1407" t="s">
        <v>63</v>
      </c>
      <c r="C1407" t="s">
        <v>20</v>
      </c>
      <c r="D1407" s="2">
        <v>5983</v>
      </c>
      <c r="E1407" s="2">
        <v>33757</v>
      </c>
      <c r="F1407" s="3">
        <v>34478</v>
      </c>
    </row>
    <row r="1408" spans="1:6" x14ac:dyDescent="0.3">
      <c r="A1408">
        <v>2018</v>
      </c>
      <c r="B1408" t="s">
        <v>63</v>
      </c>
      <c r="C1408" t="s">
        <v>21</v>
      </c>
      <c r="D1408" s="2">
        <v>10697</v>
      </c>
      <c r="E1408" s="2">
        <v>46476</v>
      </c>
      <c r="F1408" s="3">
        <v>33616</v>
      </c>
    </row>
    <row r="1409" spans="1:6" x14ac:dyDescent="0.3">
      <c r="A1409">
        <v>2018</v>
      </c>
      <c r="B1409" t="s">
        <v>63</v>
      </c>
      <c r="C1409" t="s">
        <v>22</v>
      </c>
      <c r="D1409" s="2">
        <v>9230</v>
      </c>
      <c r="E1409" s="2">
        <v>45904</v>
      </c>
      <c r="F1409" s="3">
        <v>37854</v>
      </c>
    </row>
    <row r="1410" spans="1:6" x14ac:dyDescent="0.3">
      <c r="A1410">
        <v>2018</v>
      </c>
      <c r="B1410" t="s">
        <v>63</v>
      </c>
      <c r="C1410" t="s">
        <v>23</v>
      </c>
      <c r="D1410" s="2">
        <v>3832</v>
      </c>
      <c r="E1410" s="2">
        <v>18021</v>
      </c>
      <c r="F1410" s="3">
        <v>33967</v>
      </c>
    </row>
    <row r="1411" spans="1:6" x14ac:dyDescent="0.3">
      <c r="A1411">
        <v>2018</v>
      </c>
      <c r="B1411" t="s">
        <v>63</v>
      </c>
      <c r="C1411" t="s">
        <v>24</v>
      </c>
      <c r="D1411" s="2">
        <v>19354</v>
      </c>
      <c r="E1411" s="2">
        <v>91803</v>
      </c>
      <c r="F1411" s="3">
        <v>43222</v>
      </c>
    </row>
    <row r="1412" spans="1:6" x14ac:dyDescent="0.3">
      <c r="A1412">
        <v>2018</v>
      </c>
      <c r="B1412" t="s">
        <v>63</v>
      </c>
      <c r="C1412" t="s">
        <v>25</v>
      </c>
      <c r="D1412" s="2">
        <v>21621</v>
      </c>
      <c r="E1412" s="2">
        <v>119963</v>
      </c>
      <c r="F1412" s="3">
        <v>38569</v>
      </c>
    </row>
    <row r="1413" spans="1:6" x14ac:dyDescent="0.3">
      <c r="A1413">
        <v>2018</v>
      </c>
      <c r="B1413" t="s">
        <v>63</v>
      </c>
      <c r="C1413" t="s">
        <v>26</v>
      </c>
      <c r="D1413" s="2">
        <v>31024</v>
      </c>
      <c r="E1413" s="2">
        <v>139968</v>
      </c>
      <c r="F1413" s="3">
        <v>33275</v>
      </c>
    </row>
    <row r="1414" spans="1:6" x14ac:dyDescent="0.3">
      <c r="A1414">
        <v>2018</v>
      </c>
      <c r="B1414" t="s">
        <v>63</v>
      </c>
      <c r="C1414" t="s">
        <v>27</v>
      </c>
      <c r="D1414" s="2">
        <v>17099</v>
      </c>
      <c r="E1414" s="2">
        <v>90096</v>
      </c>
      <c r="F1414" s="3">
        <v>34221</v>
      </c>
    </row>
    <row r="1415" spans="1:6" x14ac:dyDescent="0.3">
      <c r="A1415">
        <v>2018</v>
      </c>
      <c r="B1415" t="s">
        <v>63</v>
      </c>
      <c r="C1415" t="s">
        <v>28</v>
      </c>
      <c r="D1415" s="2">
        <v>4645</v>
      </c>
      <c r="E1415" s="2">
        <v>21202</v>
      </c>
      <c r="F1415" s="3">
        <v>34491</v>
      </c>
    </row>
    <row r="1416" spans="1:6" x14ac:dyDescent="0.3">
      <c r="A1416">
        <v>2018</v>
      </c>
      <c r="B1416" t="s">
        <v>63</v>
      </c>
      <c r="C1416" t="s">
        <v>29</v>
      </c>
      <c r="D1416" s="2">
        <v>12996</v>
      </c>
      <c r="E1416" s="2">
        <v>75350</v>
      </c>
      <c r="F1416" s="3">
        <v>34075</v>
      </c>
    </row>
    <row r="1417" spans="1:6" x14ac:dyDescent="0.3">
      <c r="A1417">
        <v>2018</v>
      </c>
      <c r="B1417" t="s">
        <v>63</v>
      </c>
      <c r="C1417" t="s">
        <v>30</v>
      </c>
      <c r="D1417" s="2">
        <v>4285</v>
      </c>
      <c r="E1417" s="2">
        <v>18301</v>
      </c>
      <c r="F1417" s="3">
        <v>30293</v>
      </c>
    </row>
    <row r="1418" spans="1:6" x14ac:dyDescent="0.3">
      <c r="A1418">
        <v>2018</v>
      </c>
      <c r="B1418" t="s">
        <v>63</v>
      </c>
      <c r="C1418" t="s">
        <v>31</v>
      </c>
      <c r="D1418" s="2">
        <v>4614</v>
      </c>
      <c r="E1418" s="2">
        <v>25333</v>
      </c>
      <c r="F1418" s="3">
        <v>32212</v>
      </c>
    </row>
    <row r="1419" spans="1:6" x14ac:dyDescent="0.3">
      <c r="A1419">
        <v>2018</v>
      </c>
      <c r="B1419" t="s">
        <v>63</v>
      </c>
      <c r="C1419" t="s">
        <v>32</v>
      </c>
      <c r="D1419" s="2">
        <v>5080</v>
      </c>
      <c r="E1419" s="2">
        <v>34964</v>
      </c>
      <c r="F1419" s="3">
        <v>37484</v>
      </c>
    </row>
    <row r="1420" spans="1:6" x14ac:dyDescent="0.3">
      <c r="A1420">
        <v>2018</v>
      </c>
      <c r="B1420" t="s">
        <v>63</v>
      </c>
      <c r="C1420" t="s">
        <v>33</v>
      </c>
      <c r="D1420" s="2">
        <v>3934</v>
      </c>
      <c r="E1420" s="2">
        <v>20991</v>
      </c>
      <c r="F1420" s="3">
        <v>37927</v>
      </c>
    </row>
    <row r="1421" spans="1:6" x14ac:dyDescent="0.3">
      <c r="A1421">
        <v>2018</v>
      </c>
      <c r="B1421" t="s">
        <v>63</v>
      </c>
      <c r="C1421" t="s">
        <v>34</v>
      </c>
      <c r="D1421" s="2">
        <v>24105</v>
      </c>
      <c r="E1421" s="2">
        <v>135824</v>
      </c>
      <c r="F1421" s="3">
        <v>36518</v>
      </c>
    </row>
    <row r="1422" spans="1:6" x14ac:dyDescent="0.3">
      <c r="A1422">
        <v>2018</v>
      </c>
      <c r="B1422" t="s">
        <v>63</v>
      </c>
      <c r="C1422" t="s">
        <v>35</v>
      </c>
      <c r="D1422" s="2">
        <v>4073</v>
      </c>
      <c r="E1422" s="2">
        <v>20964</v>
      </c>
      <c r="F1422" s="3">
        <v>34365</v>
      </c>
    </row>
    <row r="1423" spans="1:6" x14ac:dyDescent="0.3">
      <c r="A1423">
        <v>2018</v>
      </c>
      <c r="B1423" t="s">
        <v>63</v>
      </c>
      <c r="C1423" t="s">
        <v>36</v>
      </c>
      <c r="D1423" s="2">
        <v>73275</v>
      </c>
      <c r="E1423" s="2">
        <v>370268</v>
      </c>
      <c r="F1423" s="3">
        <v>41910</v>
      </c>
    </row>
    <row r="1424" spans="1:6" x14ac:dyDescent="0.3">
      <c r="A1424">
        <v>2018</v>
      </c>
      <c r="B1424" t="s">
        <v>63</v>
      </c>
      <c r="C1424" t="s">
        <v>37</v>
      </c>
      <c r="D1424" s="2">
        <v>23444</v>
      </c>
      <c r="E1424" s="2">
        <v>109986</v>
      </c>
      <c r="F1424" s="3">
        <v>35102</v>
      </c>
    </row>
    <row r="1425" spans="1:6" x14ac:dyDescent="0.3">
      <c r="A1425">
        <v>2018</v>
      </c>
      <c r="B1425" t="s">
        <v>63</v>
      </c>
      <c r="C1425" t="s">
        <v>38</v>
      </c>
      <c r="D1425" s="2">
        <v>2051</v>
      </c>
      <c r="E1425" s="2">
        <v>11307</v>
      </c>
      <c r="F1425" s="3">
        <v>37216</v>
      </c>
    </row>
    <row r="1426" spans="1:6" x14ac:dyDescent="0.3">
      <c r="A1426">
        <v>2018</v>
      </c>
      <c r="B1426" t="s">
        <v>63</v>
      </c>
      <c r="C1426" t="s">
        <v>39</v>
      </c>
      <c r="D1426" s="2">
        <v>23542</v>
      </c>
      <c r="E1426" s="2">
        <v>156685</v>
      </c>
      <c r="F1426" s="3">
        <v>34001</v>
      </c>
    </row>
    <row r="1427" spans="1:6" x14ac:dyDescent="0.3">
      <c r="A1427">
        <v>2018</v>
      </c>
      <c r="B1427" t="s">
        <v>63</v>
      </c>
      <c r="C1427" t="s">
        <v>40</v>
      </c>
      <c r="D1427" s="2">
        <v>6640</v>
      </c>
      <c r="E1427" s="2">
        <v>36417</v>
      </c>
      <c r="F1427" s="3">
        <v>35221</v>
      </c>
    </row>
    <row r="1428" spans="1:6" x14ac:dyDescent="0.3">
      <c r="A1428">
        <v>2018</v>
      </c>
      <c r="B1428" t="s">
        <v>63</v>
      </c>
      <c r="C1428" t="s">
        <v>41</v>
      </c>
      <c r="D1428" s="2">
        <v>24302</v>
      </c>
      <c r="E1428" s="2">
        <v>77296</v>
      </c>
      <c r="F1428" s="3">
        <v>34031</v>
      </c>
    </row>
    <row r="1429" spans="1:6" x14ac:dyDescent="0.3">
      <c r="A1429">
        <v>2018</v>
      </c>
      <c r="B1429" t="s">
        <v>63</v>
      </c>
      <c r="C1429" t="s">
        <v>42</v>
      </c>
      <c r="D1429" s="2">
        <v>32530</v>
      </c>
      <c r="E1429" s="2">
        <v>199883</v>
      </c>
      <c r="F1429" s="3">
        <v>33988</v>
      </c>
    </row>
    <row r="1430" spans="1:6" x14ac:dyDescent="0.3">
      <c r="A1430">
        <v>2018</v>
      </c>
      <c r="B1430" t="s">
        <v>63</v>
      </c>
      <c r="C1430" t="s">
        <v>43</v>
      </c>
      <c r="D1430" s="2">
        <v>3459</v>
      </c>
      <c r="E1430" s="2">
        <v>17990</v>
      </c>
      <c r="F1430" s="3">
        <v>33322</v>
      </c>
    </row>
    <row r="1431" spans="1:6" x14ac:dyDescent="0.3">
      <c r="A1431">
        <v>2018</v>
      </c>
      <c r="B1431" t="s">
        <v>63</v>
      </c>
      <c r="C1431" t="s">
        <v>44</v>
      </c>
      <c r="D1431" s="2">
        <v>11329</v>
      </c>
      <c r="E1431" s="2">
        <v>53632</v>
      </c>
      <c r="F1431" s="3">
        <v>32985</v>
      </c>
    </row>
    <row r="1432" spans="1:6" x14ac:dyDescent="0.3">
      <c r="A1432">
        <v>2018</v>
      </c>
      <c r="B1432" t="s">
        <v>63</v>
      </c>
      <c r="C1432" t="s">
        <v>45</v>
      </c>
      <c r="D1432" s="2">
        <v>2201</v>
      </c>
      <c r="E1432" s="2">
        <v>11149</v>
      </c>
      <c r="F1432" s="3">
        <v>32874</v>
      </c>
    </row>
    <row r="1433" spans="1:6" x14ac:dyDescent="0.3">
      <c r="A1433">
        <v>2018</v>
      </c>
      <c r="B1433" t="s">
        <v>63</v>
      </c>
      <c r="C1433" t="s">
        <v>46</v>
      </c>
      <c r="D1433" s="2">
        <v>15494</v>
      </c>
      <c r="E1433" s="2">
        <v>78706</v>
      </c>
      <c r="F1433" s="3">
        <v>35137</v>
      </c>
    </row>
    <row r="1434" spans="1:6" x14ac:dyDescent="0.3">
      <c r="A1434">
        <v>2018</v>
      </c>
      <c r="B1434" t="s">
        <v>63</v>
      </c>
      <c r="C1434" t="s">
        <v>47</v>
      </c>
      <c r="D1434" s="2">
        <v>56598</v>
      </c>
      <c r="E1434" s="2">
        <v>334126</v>
      </c>
      <c r="F1434" s="3">
        <v>39429</v>
      </c>
    </row>
    <row r="1435" spans="1:6" x14ac:dyDescent="0.3">
      <c r="A1435">
        <v>2018</v>
      </c>
      <c r="B1435" t="s">
        <v>63</v>
      </c>
      <c r="C1435" t="s">
        <v>48</v>
      </c>
      <c r="D1435" s="2">
        <v>6320</v>
      </c>
      <c r="E1435" s="2">
        <v>36120</v>
      </c>
      <c r="F1435" s="3">
        <v>35627</v>
      </c>
    </row>
    <row r="1436" spans="1:6" x14ac:dyDescent="0.3">
      <c r="A1436">
        <v>2018</v>
      </c>
      <c r="B1436" t="s">
        <v>63</v>
      </c>
      <c r="C1436" t="s">
        <v>49</v>
      </c>
      <c r="D1436" s="2">
        <v>1954</v>
      </c>
      <c r="E1436" s="2">
        <v>8748</v>
      </c>
      <c r="F1436" s="3">
        <v>36288</v>
      </c>
    </row>
    <row r="1437" spans="1:6" x14ac:dyDescent="0.3">
      <c r="A1437">
        <v>2018</v>
      </c>
      <c r="B1437" t="s">
        <v>63</v>
      </c>
      <c r="C1437" t="s">
        <v>50</v>
      </c>
      <c r="D1437" s="2">
        <v>36204</v>
      </c>
      <c r="E1437" s="2">
        <v>145640</v>
      </c>
      <c r="F1437" s="3">
        <v>42804</v>
      </c>
    </row>
    <row r="1438" spans="1:6" x14ac:dyDescent="0.3">
      <c r="A1438">
        <v>2018</v>
      </c>
      <c r="B1438" t="s">
        <v>63</v>
      </c>
      <c r="C1438" t="s">
        <v>51</v>
      </c>
      <c r="D1438" s="2">
        <v>19893</v>
      </c>
      <c r="E1438" s="2">
        <v>99054</v>
      </c>
      <c r="F1438" s="3">
        <v>40310</v>
      </c>
    </row>
    <row r="1439" spans="1:6" x14ac:dyDescent="0.3">
      <c r="A1439">
        <v>2018</v>
      </c>
      <c r="B1439" t="s">
        <v>63</v>
      </c>
      <c r="C1439" t="s">
        <v>52</v>
      </c>
      <c r="D1439" s="2">
        <v>5536</v>
      </c>
      <c r="E1439" s="2">
        <v>19873</v>
      </c>
      <c r="F1439" s="3">
        <v>31425</v>
      </c>
    </row>
    <row r="1440" spans="1:6" x14ac:dyDescent="0.3">
      <c r="A1440">
        <v>2018</v>
      </c>
      <c r="B1440" t="s">
        <v>63</v>
      </c>
      <c r="C1440" t="s">
        <v>53</v>
      </c>
      <c r="D1440" s="2">
        <v>14009</v>
      </c>
      <c r="E1440" s="2">
        <v>84183</v>
      </c>
      <c r="F1440" s="3">
        <v>30593</v>
      </c>
    </row>
    <row r="1441" spans="1:6" x14ac:dyDescent="0.3">
      <c r="A1441">
        <v>2018</v>
      </c>
      <c r="B1441" t="s">
        <v>63</v>
      </c>
      <c r="C1441" t="s">
        <v>54</v>
      </c>
      <c r="D1441" s="2">
        <v>1664</v>
      </c>
      <c r="E1441" s="2">
        <v>7261</v>
      </c>
      <c r="F1441" s="3">
        <v>37155</v>
      </c>
    </row>
    <row r="1442" spans="1:6" x14ac:dyDescent="0.3">
      <c r="A1442">
        <v>2017</v>
      </c>
      <c r="B1442" t="s">
        <v>6</v>
      </c>
      <c r="C1442" t="s">
        <v>7</v>
      </c>
      <c r="D1442" s="2">
        <v>1815</v>
      </c>
      <c r="E1442" s="2">
        <v>17999</v>
      </c>
      <c r="F1442" s="3">
        <v>52748</v>
      </c>
    </row>
    <row r="1443" spans="1:6" x14ac:dyDescent="0.3">
      <c r="A1443">
        <v>2017</v>
      </c>
      <c r="B1443" t="s">
        <v>6</v>
      </c>
      <c r="C1443" t="s">
        <v>8</v>
      </c>
      <c r="D1443" s="2">
        <v>1257</v>
      </c>
      <c r="E1443" s="2">
        <v>37216</v>
      </c>
      <c r="F1443" s="3">
        <v>47116</v>
      </c>
    </row>
    <row r="1444" spans="1:6" x14ac:dyDescent="0.3">
      <c r="A1444">
        <v>2017</v>
      </c>
      <c r="B1444" t="s">
        <v>6</v>
      </c>
      <c r="C1444" t="s">
        <v>9</v>
      </c>
      <c r="D1444" s="2">
        <v>2551</v>
      </c>
      <c r="E1444" s="2">
        <v>16476</v>
      </c>
      <c r="F1444" s="3">
        <v>46191</v>
      </c>
    </row>
    <row r="1445" spans="1:6" x14ac:dyDescent="0.3">
      <c r="A1445">
        <v>2017</v>
      </c>
      <c r="B1445" t="s">
        <v>6</v>
      </c>
      <c r="C1445" t="s">
        <v>10</v>
      </c>
      <c r="D1445" s="2">
        <v>17021</v>
      </c>
      <c r="E1445" s="2">
        <v>441460</v>
      </c>
      <c r="F1445" s="3">
        <v>37249</v>
      </c>
    </row>
    <row r="1446" spans="1:6" x14ac:dyDescent="0.3">
      <c r="A1446">
        <v>2017</v>
      </c>
      <c r="B1446" t="s">
        <v>6</v>
      </c>
      <c r="C1446" t="s">
        <v>11</v>
      </c>
      <c r="D1446" s="2">
        <v>3202</v>
      </c>
      <c r="E1446" s="2">
        <v>43394</v>
      </c>
      <c r="F1446" s="3">
        <v>84161</v>
      </c>
    </row>
    <row r="1447" spans="1:6" x14ac:dyDescent="0.3">
      <c r="A1447">
        <v>2017</v>
      </c>
      <c r="B1447" t="s">
        <v>6</v>
      </c>
      <c r="C1447" t="s">
        <v>12</v>
      </c>
      <c r="D1447">
        <v>433</v>
      </c>
      <c r="E1447" s="2">
        <v>5305</v>
      </c>
      <c r="F1447" s="3">
        <v>40017</v>
      </c>
    </row>
    <row r="1448" spans="1:6" x14ac:dyDescent="0.3">
      <c r="A1448">
        <v>2017</v>
      </c>
      <c r="B1448" t="s">
        <v>6</v>
      </c>
      <c r="C1448" t="s">
        <v>13</v>
      </c>
      <c r="D1448">
        <v>177</v>
      </c>
      <c r="E1448" s="2">
        <v>1538</v>
      </c>
      <c r="F1448" s="3">
        <v>39651</v>
      </c>
    </row>
    <row r="1449" spans="1:6" x14ac:dyDescent="0.3">
      <c r="A1449">
        <v>2017</v>
      </c>
      <c r="B1449" t="s">
        <v>6</v>
      </c>
      <c r="C1449" t="s">
        <v>14</v>
      </c>
      <c r="D1449" s="2">
        <v>5285</v>
      </c>
      <c r="E1449" s="2">
        <v>75471</v>
      </c>
      <c r="F1449" s="3">
        <v>32773</v>
      </c>
    </row>
    <row r="1450" spans="1:6" x14ac:dyDescent="0.3">
      <c r="A1450">
        <v>2017</v>
      </c>
      <c r="B1450" t="s">
        <v>6</v>
      </c>
      <c r="C1450" t="s">
        <v>15</v>
      </c>
      <c r="D1450" s="2">
        <v>2594</v>
      </c>
      <c r="E1450" s="2">
        <v>29299</v>
      </c>
      <c r="F1450" s="3">
        <v>41048</v>
      </c>
    </row>
    <row r="1451" spans="1:6" x14ac:dyDescent="0.3">
      <c r="A1451">
        <v>2017</v>
      </c>
      <c r="B1451" t="s">
        <v>6</v>
      </c>
      <c r="C1451" t="s">
        <v>16</v>
      </c>
      <c r="D1451" s="2">
        <v>2448</v>
      </c>
      <c r="E1451" s="2">
        <v>26790</v>
      </c>
      <c r="F1451" s="3">
        <v>38417</v>
      </c>
    </row>
    <row r="1452" spans="1:6" x14ac:dyDescent="0.3">
      <c r="A1452">
        <v>2017</v>
      </c>
      <c r="B1452" t="s">
        <v>6</v>
      </c>
      <c r="C1452" t="s">
        <v>17</v>
      </c>
      <c r="D1452" s="2">
        <v>2730</v>
      </c>
      <c r="E1452" s="2">
        <v>26665</v>
      </c>
      <c r="F1452" s="3">
        <v>48549</v>
      </c>
    </row>
    <row r="1453" spans="1:6" x14ac:dyDescent="0.3">
      <c r="A1453">
        <v>2017</v>
      </c>
      <c r="B1453" t="s">
        <v>6</v>
      </c>
      <c r="C1453" t="s">
        <v>18</v>
      </c>
      <c r="D1453" s="2">
        <v>2183</v>
      </c>
      <c r="E1453" s="2">
        <v>21072</v>
      </c>
      <c r="F1453" s="3">
        <v>47269</v>
      </c>
    </row>
    <row r="1454" spans="1:6" x14ac:dyDescent="0.3">
      <c r="A1454">
        <v>2017</v>
      </c>
      <c r="B1454" t="s">
        <v>6</v>
      </c>
      <c r="C1454" t="s">
        <v>19</v>
      </c>
      <c r="D1454" s="2">
        <v>2766</v>
      </c>
      <c r="E1454" s="2">
        <v>22503</v>
      </c>
      <c r="F1454" s="3">
        <v>41388</v>
      </c>
    </row>
    <row r="1455" spans="1:6" x14ac:dyDescent="0.3">
      <c r="A1455">
        <v>2017</v>
      </c>
      <c r="B1455" t="s">
        <v>6</v>
      </c>
      <c r="C1455" t="s">
        <v>20</v>
      </c>
      <c r="D1455" s="2">
        <v>2686</v>
      </c>
      <c r="E1455" s="2">
        <v>19024</v>
      </c>
      <c r="F1455" s="3">
        <v>45105</v>
      </c>
    </row>
    <row r="1456" spans="1:6" x14ac:dyDescent="0.3">
      <c r="A1456">
        <v>2017</v>
      </c>
      <c r="B1456" t="s">
        <v>6</v>
      </c>
      <c r="C1456" t="s">
        <v>21</v>
      </c>
      <c r="D1456" s="2">
        <v>1584</v>
      </c>
      <c r="E1456" s="2">
        <v>18306</v>
      </c>
      <c r="F1456" s="3">
        <v>54943</v>
      </c>
    </row>
    <row r="1457" spans="1:6" x14ac:dyDescent="0.3">
      <c r="A1457">
        <v>2017</v>
      </c>
      <c r="B1457" t="s">
        <v>6</v>
      </c>
      <c r="C1457" t="s">
        <v>22</v>
      </c>
      <c r="D1457" s="2">
        <v>3082</v>
      </c>
      <c r="E1457" s="2">
        <v>42251</v>
      </c>
      <c r="F1457" s="3">
        <v>80128</v>
      </c>
    </row>
    <row r="1458" spans="1:6" x14ac:dyDescent="0.3">
      <c r="A1458">
        <v>2017</v>
      </c>
      <c r="B1458" t="s">
        <v>6</v>
      </c>
      <c r="C1458" t="s">
        <v>23</v>
      </c>
      <c r="D1458" s="2">
        <v>1370</v>
      </c>
      <c r="E1458" s="2">
        <v>6817</v>
      </c>
      <c r="F1458" s="3">
        <v>40118</v>
      </c>
    </row>
    <row r="1459" spans="1:6" x14ac:dyDescent="0.3">
      <c r="A1459">
        <v>2017</v>
      </c>
      <c r="B1459" t="s">
        <v>6</v>
      </c>
      <c r="C1459" t="s">
        <v>24</v>
      </c>
      <c r="D1459">
        <v>723</v>
      </c>
      <c r="E1459" s="2">
        <v>6432</v>
      </c>
      <c r="F1459" s="3">
        <v>42478</v>
      </c>
    </row>
    <row r="1460" spans="1:6" x14ac:dyDescent="0.3">
      <c r="A1460">
        <v>2017</v>
      </c>
      <c r="B1460" t="s">
        <v>6</v>
      </c>
      <c r="C1460" t="s">
        <v>25</v>
      </c>
      <c r="D1460" s="2">
        <v>1030</v>
      </c>
      <c r="E1460" s="2">
        <v>9290</v>
      </c>
      <c r="F1460" s="3">
        <v>61286</v>
      </c>
    </row>
    <row r="1461" spans="1:6" x14ac:dyDescent="0.3">
      <c r="A1461">
        <v>2017</v>
      </c>
      <c r="B1461" t="s">
        <v>6</v>
      </c>
      <c r="C1461" t="s">
        <v>26</v>
      </c>
      <c r="D1461" s="2">
        <v>3203</v>
      </c>
      <c r="E1461" s="2">
        <v>36801</v>
      </c>
      <c r="F1461" s="3">
        <v>38160</v>
      </c>
    </row>
    <row r="1462" spans="1:6" x14ac:dyDescent="0.3">
      <c r="A1462">
        <v>2017</v>
      </c>
      <c r="B1462" t="s">
        <v>6</v>
      </c>
      <c r="C1462" t="s">
        <v>27</v>
      </c>
      <c r="D1462" s="2">
        <v>2992</v>
      </c>
      <c r="E1462" s="2">
        <v>27804</v>
      </c>
      <c r="F1462" s="3">
        <v>47599</v>
      </c>
    </row>
    <row r="1463" spans="1:6" x14ac:dyDescent="0.3">
      <c r="A1463">
        <v>2017</v>
      </c>
      <c r="B1463" t="s">
        <v>6</v>
      </c>
      <c r="C1463" t="s">
        <v>28</v>
      </c>
      <c r="D1463" s="2">
        <v>2168</v>
      </c>
      <c r="E1463" s="2">
        <v>16360</v>
      </c>
      <c r="F1463" s="3">
        <v>45681</v>
      </c>
    </row>
    <row r="1464" spans="1:6" x14ac:dyDescent="0.3">
      <c r="A1464">
        <v>2017</v>
      </c>
      <c r="B1464" t="s">
        <v>6</v>
      </c>
      <c r="C1464" t="s">
        <v>29</v>
      </c>
      <c r="D1464" s="2">
        <v>1950</v>
      </c>
      <c r="E1464" s="2">
        <v>16365</v>
      </c>
      <c r="F1464" s="3">
        <v>42894</v>
      </c>
    </row>
    <row r="1465" spans="1:6" x14ac:dyDescent="0.3">
      <c r="A1465">
        <v>2017</v>
      </c>
      <c r="B1465" t="s">
        <v>6</v>
      </c>
      <c r="C1465" t="s">
        <v>30</v>
      </c>
      <c r="D1465" s="2">
        <v>1753</v>
      </c>
      <c r="E1465" s="2">
        <v>11976</v>
      </c>
      <c r="F1465" s="3">
        <v>64781</v>
      </c>
    </row>
    <row r="1466" spans="1:6" x14ac:dyDescent="0.3">
      <c r="A1466">
        <v>2017</v>
      </c>
      <c r="B1466" t="s">
        <v>6</v>
      </c>
      <c r="C1466" t="s">
        <v>31</v>
      </c>
      <c r="D1466" s="2">
        <v>2337</v>
      </c>
      <c r="E1466" s="2">
        <v>15500</v>
      </c>
      <c r="F1466" s="3">
        <v>39544</v>
      </c>
    </row>
    <row r="1467" spans="1:6" x14ac:dyDescent="0.3">
      <c r="A1467">
        <v>2017</v>
      </c>
      <c r="B1467" t="s">
        <v>6</v>
      </c>
      <c r="C1467" t="s">
        <v>32</v>
      </c>
      <c r="D1467">
        <v>612</v>
      </c>
      <c r="E1467" s="2">
        <v>17902</v>
      </c>
      <c r="F1467" s="3">
        <v>82999</v>
      </c>
    </row>
    <row r="1468" spans="1:6" x14ac:dyDescent="0.3">
      <c r="A1468">
        <v>2017</v>
      </c>
      <c r="B1468" t="s">
        <v>6</v>
      </c>
      <c r="C1468" t="s">
        <v>33</v>
      </c>
      <c r="D1468">
        <v>350</v>
      </c>
      <c r="E1468" s="2">
        <v>2556</v>
      </c>
      <c r="F1468" s="3">
        <v>41972</v>
      </c>
    </row>
    <row r="1469" spans="1:6" x14ac:dyDescent="0.3">
      <c r="A1469">
        <v>2017</v>
      </c>
      <c r="B1469" t="s">
        <v>6</v>
      </c>
      <c r="C1469" t="s">
        <v>34</v>
      </c>
      <c r="D1469" s="2">
        <v>1018</v>
      </c>
      <c r="E1469" s="2">
        <v>12853</v>
      </c>
      <c r="F1469" s="3">
        <v>37279</v>
      </c>
    </row>
    <row r="1470" spans="1:6" x14ac:dyDescent="0.3">
      <c r="A1470">
        <v>2017</v>
      </c>
      <c r="B1470" t="s">
        <v>6</v>
      </c>
      <c r="C1470" t="s">
        <v>35</v>
      </c>
      <c r="D1470" s="2">
        <v>1991</v>
      </c>
      <c r="E1470" s="2">
        <v>32275</v>
      </c>
      <c r="F1470" s="3">
        <v>59989</v>
      </c>
    </row>
    <row r="1471" spans="1:6" x14ac:dyDescent="0.3">
      <c r="A1471">
        <v>2017</v>
      </c>
      <c r="B1471" t="s">
        <v>6</v>
      </c>
      <c r="C1471" t="s">
        <v>36</v>
      </c>
      <c r="D1471" s="2">
        <v>3023</v>
      </c>
      <c r="E1471" s="2">
        <v>30834</v>
      </c>
      <c r="F1471" s="3">
        <v>39487</v>
      </c>
    </row>
    <row r="1472" spans="1:6" x14ac:dyDescent="0.3">
      <c r="A1472">
        <v>2017</v>
      </c>
      <c r="B1472" t="s">
        <v>6</v>
      </c>
      <c r="C1472" t="s">
        <v>37</v>
      </c>
      <c r="D1472" s="2">
        <v>3306</v>
      </c>
      <c r="E1472" s="2">
        <v>30981</v>
      </c>
      <c r="F1472" s="3">
        <v>37636</v>
      </c>
    </row>
    <row r="1473" spans="1:6" x14ac:dyDescent="0.3">
      <c r="A1473">
        <v>2017</v>
      </c>
      <c r="B1473" t="s">
        <v>6</v>
      </c>
      <c r="C1473" t="s">
        <v>38</v>
      </c>
      <c r="D1473" s="2">
        <v>1771</v>
      </c>
      <c r="E1473" s="2">
        <v>22394</v>
      </c>
      <c r="F1473" s="3">
        <v>89578</v>
      </c>
    </row>
    <row r="1474" spans="1:6" x14ac:dyDescent="0.3">
      <c r="A1474">
        <v>2017</v>
      </c>
      <c r="B1474" t="s">
        <v>6</v>
      </c>
      <c r="C1474" t="s">
        <v>39</v>
      </c>
      <c r="D1474" s="2">
        <v>2483</v>
      </c>
      <c r="E1474" s="2">
        <v>27504</v>
      </c>
      <c r="F1474" s="3">
        <v>48849</v>
      </c>
    </row>
    <row r="1475" spans="1:6" x14ac:dyDescent="0.3">
      <c r="A1475">
        <v>2017</v>
      </c>
      <c r="B1475" t="s">
        <v>6</v>
      </c>
      <c r="C1475" t="s">
        <v>40</v>
      </c>
      <c r="D1475" s="2">
        <v>4333</v>
      </c>
      <c r="E1475" s="2">
        <v>58716</v>
      </c>
      <c r="F1475" s="3">
        <v>88899</v>
      </c>
    </row>
    <row r="1476" spans="1:6" x14ac:dyDescent="0.3">
      <c r="A1476">
        <v>2017</v>
      </c>
      <c r="B1476" t="s">
        <v>6</v>
      </c>
      <c r="C1476" t="s">
        <v>41</v>
      </c>
      <c r="D1476" s="2">
        <v>4453</v>
      </c>
      <c r="E1476" s="2">
        <v>52439</v>
      </c>
      <c r="F1476" s="3">
        <v>35362</v>
      </c>
    </row>
    <row r="1477" spans="1:6" x14ac:dyDescent="0.3">
      <c r="A1477">
        <v>2017</v>
      </c>
      <c r="B1477" t="s">
        <v>6</v>
      </c>
      <c r="C1477" t="s">
        <v>42</v>
      </c>
      <c r="D1477" s="2">
        <v>3498</v>
      </c>
      <c r="E1477" s="2">
        <v>50197</v>
      </c>
      <c r="F1477" s="3">
        <v>63021</v>
      </c>
    </row>
    <row r="1478" spans="1:6" x14ac:dyDescent="0.3">
      <c r="A1478">
        <v>2017</v>
      </c>
      <c r="B1478" t="s">
        <v>6</v>
      </c>
      <c r="C1478" t="s">
        <v>44</v>
      </c>
      <c r="D1478" s="2">
        <v>1230</v>
      </c>
      <c r="E1478" s="2">
        <v>12432</v>
      </c>
      <c r="F1478" s="3">
        <v>40520</v>
      </c>
    </row>
    <row r="1479" spans="1:6" x14ac:dyDescent="0.3">
      <c r="A1479">
        <v>2017</v>
      </c>
      <c r="B1479" t="s">
        <v>6</v>
      </c>
      <c r="C1479" t="s">
        <v>45</v>
      </c>
      <c r="D1479" s="2">
        <v>1026</v>
      </c>
      <c r="E1479" s="2">
        <v>6646</v>
      </c>
      <c r="F1479" s="3">
        <v>41459</v>
      </c>
    </row>
    <row r="1480" spans="1:6" x14ac:dyDescent="0.3">
      <c r="A1480">
        <v>2017</v>
      </c>
      <c r="B1480" t="s">
        <v>6</v>
      </c>
      <c r="C1480" t="s">
        <v>46</v>
      </c>
      <c r="D1480" s="2">
        <v>1071</v>
      </c>
      <c r="E1480" s="2">
        <v>10750</v>
      </c>
      <c r="F1480" s="3">
        <v>43908</v>
      </c>
    </row>
    <row r="1481" spans="1:6" x14ac:dyDescent="0.3">
      <c r="A1481">
        <v>2017</v>
      </c>
      <c r="B1481" t="s">
        <v>6</v>
      </c>
      <c r="C1481" t="s">
        <v>47</v>
      </c>
      <c r="D1481" s="2">
        <v>19580</v>
      </c>
      <c r="E1481" s="2">
        <v>281110</v>
      </c>
      <c r="F1481" s="3">
        <v>107415</v>
      </c>
    </row>
    <row r="1482" spans="1:6" x14ac:dyDescent="0.3">
      <c r="A1482">
        <v>2017</v>
      </c>
      <c r="B1482" t="s">
        <v>6</v>
      </c>
      <c r="C1482" t="s">
        <v>48</v>
      </c>
      <c r="D1482" s="2">
        <v>1034</v>
      </c>
      <c r="E1482" s="2">
        <v>14217</v>
      </c>
      <c r="F1482" s="3">
        <v>59120</v>
      </c>
    </row>
    <row r="1483" spans="1:6" x14ac:dyDescent="0.3">
      <c r="A1483">
        <v>2017</v>
      </c>
      <c r="B1483" t="s">
        <v>6</v>
      </c>
      <c r="C1483" t="s">
        <v>49</v>
      </c>
      <c r="D1483">
        <v>551</v>
      </c>
      <c r="E1483" s="2">
        <v>3901</v>
      </c>
      <c r="F1483" s="3">
        <v>37223</v>
      </c>
    </row>
    <row r="1484" spans="1:6" x14ac:dyDescent="0.3">
      <c r="A1484">
        <v>2017</v>
      </c>
      <c r="B1484" t="s">
        <v>6</v>
      </c>
      <c r="C1484" t="s">
        <v>50</v>
      </c>
      <c r="D1484" s="2">
        <v>2061</v>
      </c>
      <c r="E1484" s="2">
        <v>19558</v>
      </c>
      <c r="F1484" s="3">
        <v>44371</v>
      </c>
    </row>
    <row r="1485" spans="1:6" x14ac:dyDescent="0.3">
      <c r="A1485">
        <v>2017</v>
      </c>
      <c r="B1485" t="s">
        <v>6</v>
      </c>
      <c r="C1485" t="s">
        <v>51</v>
      </c>
      <c r="D1485" s="2">
        <v>7493</v>
      </c>
      <c r="E1485" s="2">
        <v>107674</v>
      </c>
      <c r="F1485" s="3">
        <v>32082</v>
      </c>
    </row>
    <row r="1486" spans="1:6" x14ac:dyDescent="0.3">
      <c r="A1486">
        <v>2017</v>
      </c>
      <c r="B1486" t="s">
        <v>6</v>
      </c>
      <c r="C1486" t="s">
        <v>52</v>
      </c>
      <c r="D1486" s="2">
        <v>1221</v>
      </c>
      <c r="E1486" s="2">
        <v>22793</v>
      </c>
      <c r="F1486" s="3">
        <v>76848</v>
      </c>
    </row>
    <row r="1487" spans="1:6" x14ac:dyDescent="0.3">
      <c r="A1487">
        <v>2017</v>
      </c>
      <c r="B1487" t="s">
        <v>6</v>
      </c>
      <c r="C1487" t="s">
        <v>53</v>
      </c>
      <c r="D1487" s="2">
        <v>2865</v>
      </c>
      <c r="E1487" s="2">
        <v>31986</v>
      </c>
      <c r="F1487" s="3">
        <v>37981</v>
      </c>
    </row>
    <row r="1488" spans="1:6" x14ac:dyDescent="0.3">
      <c r="A1488">
        <v>2017</v>
      </c>
      <c r="B1488" t="s">
        <v>6</v>
      </c>
      <c r="C1488" t="s">
        <v>54</v>
      </c>
      <c r="D1488" s="2">
        <v>1442</v>
      </c>
      <c r="E1488" s="2">
        <v>22390</v>
      </c>
      <c r="F1488" s="3">
        <v>81163</v>
      </c>
    </row>
    <row r="1489" spans="1:6" x14ac:dyDescent="0.3">
      <c r="A1489">
        <v>2017</v>
      </c>
      <c r="B1489" t="s">
        <v>55</v>
      </c>
      <c r="C1489" t="s">
        <v>7</v>
      </c>
      <c r="D1489" s="2">
        <v>9645</v>
      </c>
      <c r="E1489" s="2">
        <v>85262</v>
      </c>
      <c r="F1489" s="3">
        <v>52230</v>
      </c>
    </row>
    <row r="1490" spans="1:6" x14ac:dyDescent="0.3">
      <c r="A1490">
        <v>2017</v>
      </c>
      <c r="B1490" t="s">
        <v>55</v>
      </c>
      <c r="C1490" t="s">
        <v>8</v>
      </c>
      <c r="D1490" s="2">
        <v>11368</v>
      </c>
      <c r="E1490" s="2">
        <v>144747</v>
      </c>
      <c r="F1490" s="3">
        <v>53440</v>
      </c>
    </row>
    <row r="1491" spans="1:6" x14ac:dyDescent="0.3">
      <c r="A1491">
        <v>2017</v>
      </c>
      <c r="B1491" t="s">
        <v>55</v>
      </c>
      <c r="C1491" t="s">
        <v>9</v>
      </c>
      <c r="D1491" s="2">
        <v>6817</v>
      </c>
      <c r="E1491" s="2">
        <v>51130</v>
      </c>
      <c r="F1491" s="3">
        <v>47283</v>
      </c>
    </row>
    <row r="1492" spans="1:6" x14ac:dyDescent="0.3">
      <c r="A1492">
        <v>2017</v>
      </c>
      <c r="B1492" t="s">
        <v>55</v>
      </c>
      <c r="C1492" t="s">
        <v>10</v>
      </c>
      <c r="D1492" s="2">
        <v>72972</v>
      </c>
      <c r="E1492" s="2">
        <v>805942</v>
      </c>
      <c r="F1492" s="3">
        <v>67561</v>
      </c>
    </row>
    <row r="1493" spans="1:6" x14ac:dyDescent="0.3">
      <c r="A1493">
        <v>2017</v>
      </c>
      <c r="B1493" t="s">
        <v>55</v>
      </c>
      <c r="C1493" t="s">
        <v>11</v>
      </c>
      <c r="D1493" s="2">
        <v>19243</v>
      </c>
      <c r="E1493" s="2">
        <v>163473</v>
      </c>
      <c r="F1493" s="3">
        <v>59444</v>
      </c>
    </row>
    <row r="1494" spans="1:6" x14ac:dyDescent="0.3">
      <c r="A1494">
        <v>2017</v>
      </c>
      <c r="B1494" t="s">
        <v>55</v>
      </c>
      <c r="C1494" t="s">
        <v>12</v>
      </c>
      <c r="D1494" s="2">
        <v>9351</v>
      </c>
      <c r="E1494" s="2">
        <v>58327</v>
      </c>
      <c r="F1494" s="3">
        <v>68641</v>
      </c>
    </row>
    <row r="1495" spans="1:6" x14ac:dyDescent="0.3">
      <c r="A1495">
        <v>2017</v>
      </c>
      <c r="B1495" t="s">
        <v>55</v>
      </c>
      <c r="C1495" t="s">
        <v>13</v>
      </c>
      <c r="D1495" s="2">
        <v>2777</v>
      </c>
      <c r="E1495" s="2">
        <v>21591</v>
      </c>
      <c r="F1495" s="3">
        <v>59040</v>
      </c>
    </row>
    <row r="1496" spans="1:6" x14ac:dyDescent="0.3">
      <c r="A1496">
        <v>2017</v>
      </c>
      <c r="B1496" t="s">
        <v>55</v>
      </c>
      <c r="C1496" t="s">
        <v>14</v>
      </c>
      <c r="D1496" s="2">
        <v>67384</v>
      </c>
      <c r="E1496" s="2">
        <v>503704</v>
      </c>
      <c r="F1496" s="3">
        <v>49256</v>
      </c>
    </row>
    <row r="1497" spans="1:6" x14ac:dyDescent="0.3">
      <c r="A1497">
        <v>2017</v>
      </c>
      <c r="B1497" t="s">
        <v>55</v>
      </c>
      <c r="C1497" t="s">
        <v>15</v>
      </c>
      <c r="D1497" s="2">
        <v>20135</v>
      </c>
      <c r="E1497" s="2">
        <v>182259</v>
      </c>
      <c r="F1497" s="3">
        <v>58213</v>
      </c>
    </row>
    <row r="1498" spans="1:6" x14ac:dyDescent="0.3">
      <c r="A1498">
        <v>2017</v>
      </c>
      <c r="B1498" t="s">
        <v>55</v>
      </c>
      <c r="C1498" t="s">
        <v>16</v>
      </c>
      <c r="D1498" s="2">
        <v>7660</v>
      </c>
      <c r="E1498" s="2">
        <v>42668</v>
      </c>
      <c r="F1498" s="3">
        <v>42865</v>
      </c>
    </row>
    <row r="1499" spans="1:6" x14ac:dyDescent="0.3">
      <c r="A1499">
        <v>2017</v>
      </c>
      <c r="B1499" t="s">
        <v>55</v>
      </c>
      <c r="C1499" t="s">
        <v>17</v>
      </c>
      <c r="D1499" s="2">
        <v>31422</v>
      </c>
      <c r="E1499" s="2">
        <v>220019</v>
      </c>
      <c r="F1499" s="3">
        <v>70893</v>
      </c>
    </row>
    <row r="1500" spans="1:6" x14ac:dyDescent="0.3">
      <c r="A1500">
        <v>2017</v>
      </c>
      <c r="B1500" t="s">
        <v>55</v>
      </c>
      <c r="C1500" t="s">
        <v>18</v>
      </c>
      <c r="D1500" s="2">
        <v>14839</v>
      </c>
      <c r="E1500" s="2">
        <v>138040</v>
      </c>
      <c r="F1500" s="3">
        <v>57099</v>
      </c>
    </row>
    <row r="1501" spans="1:6" x14ac:dyDescent="0.3">
      <c r="A1501">
        <v>2017</v>
      </c>
      <c r="B1501" t="s">
        <v>55</v>
      </c>
      <c r="C1501" t="s">
        <v>19</v>
      </c>
      <c r="D1501" s="2">
        <v>9417</v>
      </c>
      <c r="E1501" s="2">
        <v>76086</v>
      </c>
      <c r="F1501" s="3">
        <v>55415</v>
      </c>
    </row>
    <row r="1502" spans="1:6" x14ac:dyDescent="0.3">
      <c r="A1502">
        <v>2017</v>
      </c>
      <c r="B1502" t="s">
        <v>55</v>
      </c>
      <c r="C1502" t="s">
        <v>20</v>
      </c>
      <c r="D1502" s="2">
        <v>7584</v>
      </c>
      <c r="E1502" s="2">
        <v>60238</v>
      </c>
      <c r="F1502" s="3">
        <v>52807</v>
      </c>
    </row>
    <row r="1503" spans="1:6" x14ac:dyDescent="0.3">
      <c r="A1503">
        <v>2017</v>
      </c>
      <c r="B1503" t="s">
        <v>55</v>
      </c>
      <c r="C1503" t="s">
        <v>21</v>
      </c>
      <c r="D1503" s="2">
        <v>9339</v>
      </c>
      <c r="E1503" s="2">
        <v>77332</v>
      </c>
      <c r="F1503" s="3">
        <v>53194</v>
      </c>
    </row>
    <row r="1504" spans="1:6" x14ac:dyDescent="0.3">
      <c r="A1504">
        <v>2017</v>
      </c>
      <c r="B1504" t="s">
        <v>55</v>
      </c>
      <c r="C1504" t="s">
        <v>22</v>
      </c>
      <c r="D1504" s="2">
        <v>10825</v>
      </c>
      <c r="E1504" s="2">
        <v>147021</v>
      </c>
      <c r="F1504" s="3">
        <v>61781</v>
      </c>
    </row>
    <row r="1505" spans="1:6" x14ac:dyDescent="0.3">
      <c r="A1505">
        <v>2017</v>
      </c>
      <c r="B1505" t="s">
        <v>55</v>
      </c>
      <c r="C1505" t="s">
        <v>23</v>
      </c>
      <c r="D1505" s="2">
        <v>5502</v>
      </c>
      <c r="E1505" s="2">
        <v>28253</v>
      </c>
      <c r="F1505" s="3">
        <v>47930</v>
      </c>
    </row>
    <row r="1506" spans="1:6" x14ac:dyDescent="0.3">
      <c r="A1506">
        <v>2017</v>
      </c>
      <c r="B1506" t="s">
        <v>55</v>
      </c>
      <c r="C1506" t="s">
        <v>24</v>
      </c>
      <c r="D1506" s="2">
        <v>16463</v>
      </c>
      <c r="E1506" s="2">
        <v>162140</v>
      </c>
      <c r="F1506" s="3">
        <v>65027</v>
      </c>
    </row>
    <row r="1507" spans="1:6" x14ac:dyDescent="0.3">
      <c r="A1507">
        <v>2017</v>
      </c>
      <c r="B1507" t="s">
        <v>55</v>
      </c>
      <c r="C1507" t="s">
        <v>25</v>
      </c>
      <c r="D1507" s="2">
        <v>21055</v>
      </c>
      <c r="E1507" s="2">
        <v>152131</v>
      </c>
      <c r="F1507" s="3">
        <v>75405</v>
      </c>
    </row>
    <row r="1508" spans="1:6" x14ac:dyDescent="0.3">
      <c r="A1508">
        <v>2017</v>
      </c>
      <c r="B1508" t="s">
        <v>55</v>
      </c>
      <c r="C1508" t="s">
        <v>26</v>
      </c>
      <c r="D1508" s="2">
        <v>19544</v>
      </c>
      <c r="E1508" s="2">
        <v>161903</v>
      </c>
      <c r="F1508" s="3">
        <v>61511</v>
      </c>
    </row>
    <row r="1509" spans="1:6" x14ac:dyDescent="0.3">
      <c r="A1509">
        <v>2017</v>
      </c>
      <c r="B1509" t="s">
        <v>55</v>
      </c>
      <c r="C1509" t="s">
        <v>27</v>
      </c>
      <c r="D1509" s="2">
        <v>15746</v>
      </c>
      <c r="E1509" s="2">
        <v>119642</v>
      </c>
      <c r="F1509" s="3">
        <v>65464</v>
      </c>
    </row>
    <row r="1510" spans="1:6" x14ac:dyDescent="0.3">
      <c r="A1510">
        <v>2017</v>
      </c>
      <c r="B1510" t="s">
        <v>55</v>
      </c>
      <c r="C1510" t="s">
        <v>28</v>
      </c>
      <c r="D1510" s="2">
        <v>5670</v>
      </c>
      <c r="E1510" s="2">
        <v>43467</v>
      </c>
      <c r="F1510" s="3">
        <v>48782</v>
      </c>
    </row>
    <row r="1511" spans="1:6" x14ac:dyDescent="0.3">
      <c r="A1511">
        <v>2017</v>
      </c>
      <c r="B1511" t="s">
        <v>55</v>
      </c>
      <c r="C1511" t="s">
        <v>29</v>
      </c>
      <c r="D1511" s="2">
        <v>15141</v>
      </c>
      <c r="E1511" s="2">
        <v>123034</v>
      </c>
      <c r="F1511" s="3">
        <v>57823</v>
      </c>
    </row>
    <row r="1512" spans="1:6" x14ac:dyDescent="0.3">
      <c r="A1512">
        <v>2017</v>
      </c>
      <c r="B1512" t="s">
        <v>55</v>
      </c>
      <c r="C1512" t="s">
        <v>30</v>
      </c>
      <c r="D1512" s="2">
        <v>6287</v>
      </c>
      <c r="E1512" s="2">
        <v>27712</v>
      </c>
      <c r="F1512" s="3">
        <v>50369</v>
      </c>
    </row>
    <row r="1513" spans="1:6" x14ac:dyDescent="0.3">
      <c r="A1513">
        <v>2017</v>
      </c>
      <c r="B1513" t="s">
        <v>55</v>
      </c>
      <c r="C1513" t="s">
        <v>31</v>
      </c>
      <c r="D1513" s="2">
        <v>7053</v>
      </c>
      <c r="E1513" s="2">
        <v>51174</v>
      </c>
      <c r="F1513" s="3">
        <v>49634</v>
      </c>
    </row>
    <row r="1514" spans="1:6" x14ac:dyDescent="0.3">
      <c r="A1514">
        <v>2017</v>
      </c>
      <c r="B1514" t="s">
        <v>55</v>
      </c>
      <c r="C1514" t="s">
        <v>32</v>
      </c>
      <c r="D1514" s="2">
        <v>5859</v>
      </c>
      <c r="E1514" s="2">
        <v>82998</v>
      </c>
      <c r="F1514" s="3">
        <v>58071</v>
      </c>
    </row>
    <row r="1515" spans="1:6" x14ac:dyDescent="0.3">
      <c r="A1515">
        <v>2017</v>
      </c>
      <c r="B1515" t="s">
        <v>55</v>
      </c>
      <c r="C1515" t="s">
        <v>33</v>
      </c>
      <c r="D1515" s="2">
        <v>4363</v>
      </c>
      <c r="E1515" s="2">
        <v>26466</v>
      </c>
      <c r="F1515" s="3">
        <v>61497</v>
      </c>
    </row>
    <row r="1516" spans="1:6" x14ac:dyDescent="0.3">
      <c r="A1516">
        <v>2017</v>
      </c>
      <c r="B1516" t="s">
        <v>55</v>
      </c>
      <c r="C1516" t="s">
        <v>34</v>
      </c>
      <c r="D1516" s="2">
        <v>21672</v>
      </c>
      <c r="E1516" s="2">
        <v>154907</v>
      </c>
      <c r="F1516" s="3">
        <v>71145</v>
      </c>
    </row>
    <row r="1517" spans="1:6" x14ac:dyDescent="0.3">
      <c r="A1517">
        <v>2017</v>
      </c>
      <c r="B1517" t="s">
        <v>55</v>
      </c>
      <c r="C1517" t="s">
        <v>35</v>
      </c>
      <c r="D1517" s="2">
        <v>5141</v>
      </c>
      <c r="E1517" s="2">
        <v>45511</v>
      </c>
      <c r="F1517" s="3">
        <v>46369</v>
      </c>
    </row>
    <row r="1518" spans="1:6" x14ac:dyDescent="0.3">
      <c r="A1518">
        <v>2017</v>
      </c>
      <c r="B1518" t="s">
        <v>55</v>
      </c>
      <c r="C1518" t="s">
        <v>36</v>
      </c>
      <c r="D1518" s="2">
        <v>50064</v>
      </c>
      <c r="E1518" s="2">
        <v>386615</v>
      </c>
      <c r="F1518" s="3">
        <v>71408</v>
      </c>
    </row>
    <row r="1519" spans="1:6" x14ac:dyDescent="0.3">
      <c r="A1519">
        <v>2017</v>
      </c>
      <c r="B1519" t="s">
        <v>55</v>
      </c>
      <c r="C1519" t="s">
        <v>37</v>
      </c>
      <c r="D1519" s="2">
        <v>26057</v>
      </c>
      <c r="E1519" s="2">
        <v>208662</v>
      </c>
      <c r="F1519" s="3">
        <v>52372</v>
      </c>
    </row>
    <row r="1520" spans="1:6" x14ac:dyDescent="0.3">
      <c r="A1520">
        <v>2017</v>
      </c>
      <c r="B1520" t="s">
        <v>55</v>
      </c>
      <c r="C1520" t="s">
        <v>38</v>
      </c>
      <c r="D1520" s="2">
        <v>4035</v>
      </c>
      <c r="E1520" s="2">
        <v>26732</v>
      </c>
      <c r="F1520" s="3">
        <v>63029</v>
      </c>
    </row>
    <row r="1521" spans="1:6" x14ac:dyDescent="0.3">
      <c r="A1521">
        <v>2017</v>
      </c>
      <c r="B1521" t="s">
        <v>55</v>
      </c>
      <c r="C1521" t="s">
        <v>39</v>
      </c>
      <c r="D1521" s="2">
        <v>23022</v>
      </c>
      <c r="E1521" s="2">
        <v>217025</v>
      </c>
      <c r="F1521" s="3">
        <v>60831</v>
      </c>
    </row>
    <row r="1522" spans="1:6" x14ac:dyDescent="0.3">
      <c r="A1522">
        <v>2017</v>
      </c>
      <c r="B1522" t="s">
        <v>55</v>
      </c>
      <c r="C1522" t="s">
        <v>40</v>
      </c>
      <c r="D1522" s="2">
        <v>9823</v>
      </c>
      <c r="E1522" s="2">
        <v>77247</v>
      </c>
      <c r="F1522" s="3">
        <v>50585</v>
      </c>
    </row>
    <row r="1523" spans="1:6" x14ac:dyDescent="0.3">
      <c r="A1523">
        <v>2017</v>
      </c>
      <c r="B1523" t="s">
        <v>55</v>
      </c>
      <c r="C1523" t="s">
        <v>41</v>
      </c>
      <c r="D1523" s="2">
        <v>13468</v>
      </c>
      <c r="E1523" s="2">
        <v>96991</v>
      </c>
      <c r="F1523" s="3">
        <v>57987</v>
      </c>
    </row>
    <row r="1524" spans="1:6" x14ac:dyDescent="0.3">
      <c r="A1524">
        <v>2017</v>
      </c>
      <c r="B1524" t="s">
        <v>55</v>
      </c>
      <c r="C1524" t="s">
        <v>42</v>
      </c>
      <c r="D1524" s="2">
        <v>28397</v>
      </c>
      <c r="E1524" s="2">
        <v>248932</v>
      </c>
      <c r="F1524" s="3">
        <v>64769</v>
      </c>
    </row>
    <row r="1525" spans="1:6" x14ac:dyDescent="0.3">
      <c r="A1525">
        <v>2017</v>
      </c>
      <c r="B1525" t="s">
        <v>55</v>
      </c>
      <c r="C1525" t="s">
        <v>44</v>
      </c>
      <c r="D1525" s="2">
        <v>11635</v>
      </c>
      <c r="E1525" s="2">
        <v>100817</v>
      </c>
      <c r="F1525" s="3">
        <v>53542</v>
      </c>
    </row>
    <row r="1526" spans="1:6" x14ac:dyDescent="0.3">
      <c r="A1526">
        <v>2017</v>
      </c>
      <c r="B1526" t="s">
        <v>55</v>
      </c>
      <c r="C1526" t="s">
        <v>45</v>
      </c>
      <c r="D1526" s="2">
        <v>3883</v>
      </c>
      <c r="E1526" s="2">
        <v>22351</v>
      </c>
      <c r="F1526" s="3">
        <v>47385</v>
      </c>
    </row>
    <row r="1527" spans="1:6" x14ac:dyDescent="0.3">
      <c r="A1527">
        <v>2017</v>
      </c>
      <c r="B1527" t="s">
        <v>55</v>
      </c>
      <c r="C1527" t="s">
        <v>46</v>
      </c>
      <c r="D1527" s="2">
        <v>11745</v>
      </c>
      <c r="E1527" s="2">
        <v>119968</v>
      </c>
      <c r="F1527" s="3">
        <v>56642</v>
      </c>
    </row>
    <row r="1528" spans="1:6" x14ac:dyDescent="0.3">
      <c r="A1528">
        <v>2017</v>
      </c>
      <c r="B1528" t="s">
        <v>55</v>
      </c>
      <c r="C1528" t="s">
        <v>47</v>
      </c>
      <c r="D1528" s="2">
        <v>49310</v>
      </c>
      <c r="E1528" s="2">
        <v>711119</v>
      </c>
      <c r="F1528" s="3">
        <v>63219</v>
      </c>
    </row>
    <row r="1529" spans="1:6" x14ac:dyDescent="0.3">
      <c r="A1529">
        <v>2017</v>
      </c>
      <c r="B1529" t="s">
        <v>55</v>
      </c>
      <c r="C1529" t="s">
        <v>48</v>
      </c>
      <c r="D1529" s="2">
        <v>10886</v>
      </c>
      <c r="E1529" s="2">
        <v>97495</v>
      </c>
      <c r="F1529" s="3">
        <v>49132</v>
      </c>
    </row>
    <row r="1530" spans="1:6" x14ac:dyDescent="0.3">
      <c r="A1530">
        <v>2017</v>
      </c>
      <c r="B1530" t="s">
        <v>55</v>
      </c>
      <c r="C1530" t="s">
        <v>49</v>
      </c>
      <c r="D1530" s="2">
        <v>2865</v>
      </c>
      <c r="E1530" s="2">
        <v>15187</v>
      </c>
      <c r="F1530" s="3">
        <v>50125</v>
      </c>
    </row>
    <row r="1531" spans="1:6" x14ac:dyDescent="0.3">
      <c r="A1531">
        <v>2017</v>
      </c>
      <c r="B1531" t="s">
        <v>55</v>
      </c>
      <c r="C1531" t="s">
        <v>50</v>
      </c>
      <c r="D1531" s="2">
        <v>21256</v>
      </c>
      <c r="E1531" s="2">
        <v>192576</v>
      </c>
      <c r="F1531" s="3">
        <v>56166</v>
      </c>
    </row>
    <row r="1532" spans="1:6" x14ac:dyDescent="0.3">
      <c r="A1532">
        <v>2017</v>
      </c>
      <c r="B1532" t="s">
        <v>55</v>
      </c>
      <c r="C1532" t="s">
        <v>51</v>
      </c>
      <c r="D1532" s="2">
        <v>25279</v>
      </c>
      <c r="E1532" s="2">
        <v>187247</v>
      </c>
      <c r="F1532" s="3">
        <v>61249</v>
      </c>
    </row>
    <row r="1533" spans="1:6" x14ac:dyDescent="0.3">
      <c r="A1533">
        <v>2017</v>
      </c>
      <c r="B1533" t="s">
        <v>55</v>
      </c>
      <c r="C1533" t="s">
        <v>52</v>
      </c>
      <c r="D1533" s="2">
        <v>4402</v>
      </c>
      <c r="E1533" s="2">
        <v>31522</v>
      </c>
      <c r="F1533" s="3">
        <v>57987</v>
      </c>
    </row>
    <row r="1534" spans="1:6" x14ac:dyDescent="0.3">
      <c r="A1534">
        <v>2017</v>
      </c>
      <c r="B1534" t="s">
        <v>55</v>
      </c>
      <c r="C1534" t="s">
        <v>53</v>
      </c>
      <c r="D1534" s="2">
        <v>14158</v>
      </c>
      <c r="E1534" s="2">
        <v>117226</v>
      </c>
      <c r="F1534" s="3">
        <v>60136</v>
      </c>
    </row>
    <row r="1535" spans="1:6" x14ac:dyDescent="0.3">
      <c r="A1535">
        <v>2017</v>
      </c>
      <c r="B1535" t="s">
        <v>55</v>
      </c>
      <c r="C1535" t="s">
        <v>54</v>
      </c>
      <c r="D1535" s="2">
        <v>3427</v>
      </c>
      <c r="E1535" s="2">
        <v>19573</v>
      </c>
      <c r="F1535" s="3">
        <v>50877</v>
      </c>
    </row>
    <row r="1536" spans="1:6" x14ac:dyDescent="0.3">
      <c r="A1536">
        <v>2017</v>
      </c>
      <c r="B1536" t="s">
        <v>56</v>
      </c>
      <c r="C1536" t="s">
        <v>7</v>
      </c>
      <c r="D1536" s="2">
        <v>5447</v>
      </c>
      <c r="E1536" s="2">
        <v>263487</v>
      </c>
      <c r="F1536" s="3">
        <v>55197</v>
      </c>
    </row>
    <row r="1537" spans="1:6" x14ac:dyDescent="0.3">
      <c r="A1537">
        <v>2017</v>
      </c>
      <c r="B1537" t="s">
        <v>56</v>
      </c>
      <c r="C1537" t="s">
        <v>8</v>
      </c>
      <c r="D1537" s="2">
        <v>4657</v>
      </c>
      <c r="E1537" s="2">
        <v>162399</v>
      </c>
      <c r="F1537" s="3">
        <v>73528</v>
      </c>
    </row>
    <row r="1538" spans="1:6" x14ac:dyDescent="0.3">
      <c r="A1538">
        <v>2017</v>
      </c>
      <c r="B1538" t="s">
        <v>56</v>
      </c>
      <c r="C1538" t="s">
        <v>9</v>
      </c>
      <c r="D1538" s="2">
        <v>2928</v>
      </c>
      <c r="E1538" s="2">
        <v>157305</v>
      </c>
      <c r="F1538" s="3">
        <v>46766</v>
      </c>
    </row>
    <row r="1539" spans="1:6" x14ac:dyDescent="0.3">
      <c r="A1539">
        <v>2017</v>
      </c>
      <c r="B1539" t="s">
        <v>56</v>
      </c>
      <c r="C1539" t="s">
        <v>10</v>
      </c>
      <c r="D1539" s="2">
        <v>42215</v>
      </c>
      <c r="E1539" s="2">
        <v>1303550</v>
      </c>
      <c r="F1539" s="3">
        <v>92246</v>
      </c>
    </row>
    <row r="1540" spans="1:6" x14ac:dyDescent="0.3">
      <c r="A1540">
        <v>2017</v>
      </c>
      <c r="B1540" t="s">
        <v>56</v>
      </c>
      <c r="C1540" t="s">
        <v>11</v>
      </c>
      <c r="D1540" s="2">
        <v>5750</v>
      </c>
      <c r="E1540" s="2">
        <v>144067</v>
      </c>
      <c r="F1540" s="3">
        <v>69446</v>
      </c>
    </row>
    <row r="1541" spans="1:6" x14ac:dyDescent="0.3">
      <c r="A1541">
        <v>2017</v>
      </c>
      <c r="B1541" t="s">
        <v>56</v>
      </c>
      <c r="C1541" t="s">
        <v>12</v>
      </c>
      <c r="D1541" s="2">
        <v>4460</v>
      </c>
      <c r="E1541" s="2">
        <v>158891</v>
      </c>
      <c r="F1541" s="3">
        <v>81864</v>
      </c>
    </row>
    <row r="1542" spans="1:6" x14ac:dyDescent="0.3">
      <c r="A1542">
        <v>2017</v>
      </c>
      <c r="B1542" t="s">
        <v>56</v>
      </c>
      <c r="C1542" t="s">
        <v>13</v>
      </c>
      <c r="D1542">
        <v>688</v>
      </c>
      <c r="E1542" s="2">
        <v>25928</v>
      </c>
      <c r="F1542" s="3">
        <v>62417</v>
      </c>
    </row>
    <row r="1543" spans="1:6" x14ac:dyDescent="0.3">
      <c r="A1543">
        <v>2017</v>
      </c>
      <c r="B1543" t="s">
        <v>56</v>
      </c>
      <c r="C1543" t="s">
        <v>14</v>
      </c>
      <c r="D1543" s="2">
        <v>20513</v>
      </c>
      <c r="E1543" s="2">
        <v>363137</v>
      </c>
      <c r="F1543" s="3">
        <v>59389</v>
      </c>
    </row>
    <row r="1544" spans="1:6" x14ac:dyDescent="0.3">
      <c r="A1544">
        <v>2017</v>
      </c>
      <c r="B1544" t="s">
        <v>56</v>
      </c>
      <c r="C1544" t="s">
        <v>15</v>
      </c>
      <c r="D1544" s="2">
        <v>9745</v>
      </c>
      <c r="E1544" s="2">
        <v>395916</v>
      </c>
      <c r="F1544" s="3">
        <v>57889</v>
      </c>
    </row>
    <row r="1545" spans="1:6" x14ac:dyDescent="0.3">
      <c r="A1545">
        <v>2017</v>
      </c>
      <c r="B1545" t="s">
        <v>56</v>
      </c>
      <c r="C1545" t="s">
        <v>16</v>
      </c>
      <c r="D1545" s="2">
        <v>2750</v>
      </c>
      <c r="E1545" s="2">
        <v>66056</v>
      </c>
      <c r="F1545" s="3">
        <v>61543</v>
      </c>
    </row>
    <row r="1546" spans="1:6" x14ac:dyDescent="0.3">
      <c r="A1546">
        <v>2017</v>
      </c>
      <c r="B1546" t="s">
        <v>56</v>
      </c>
      <c r="C1546" t="s">
        <v>17</v>
      </c>
      <c r="D1546" s="2">
        <v>17979</v>
      </c>
      <c r="E1546" s="2">
        <v>574692</v>
      </c>
      <c r="F1546" s="3">
        <v>70174</v>
      </c>
    </row>
    <row r="1547" spans="1:6" x14ac:dyDescent="0.3">
      <c r="A1547">
        <v>2017</v>
      </c>
      <c r="B1547" t="s">
        <v>56</v>
      </c>
      <c r="C1547" t="s">
        <v>18</v>
      </c>
      <c r="D1547" s="2">
        <v>8554</v>
      </c>
      <c r="E1547" s="2">
        <v>531312</v>
      </c>
      <c r="F1547" s="3">
        <v>61118</v>
      </c>
    </row>
    <row r="1548" spans="1:6" x14ac:dyDescent="0.3">
      <c r="A1548">
        <v>2017</v>
      </c>
      <c r="B1548" t="s">
        <v>56</v>
      </c>
      <c r="C1548" t="s">
        <v>19</v>
      </c>
      <c r="D1548" s="2">
        <v>4125</v>
      </c>
      <c r="E1548" s="2">
        <v>215910</v>
      </c>
      <c r="F1548" s="3">
        <v>58617</v>
      </c>
    </row>
    <row r="1549" spans="1:6" x14ac:dyDescent="0.3">
      <c r="A1549">
        <v>2017</v>
      </c>
      <c r="B1549" t="s">
        <v>56</v>
      </c>
      <c r="C1549" t="s">
        <v>20</v>
      </c>
      <c r="D1549" s="2">
        <v>3164</v>
      </c>
      <c r="E1549" s="2">
        <v>161517</v>
      </c>
      <c r="F1549" s="3">
        <v>57532</v>
      </c>
    </row>
    <row r="1550" spans="1:6" x14ac:dyDescent="0.3">
      <c r="A1550">
        <v>2017</v>
      </c>
      <c r="B1550" t="s">
        <v>56</v>
      </c>
      <c r="C1550" t="s">
        <v>21</v>
      </c>
      <c r="D1550" s="2">
        <v>4368</v>
      </c>
      <c r="E1550" s="2">
        <v>250180</v>
      </c>
      <c r="F1550" s="3">
        <v>58143</v>
      </c>
    </row>
    <row r="1551" spans="1:6" x14ac:dyDescent="0.3">
      <c r="A1551">
        <v>2017</v>
      </c>
      <c r="B1551" t="s">
        <v>56</v>
      </c>
      <c r="C1551" t="s">
        <v>22</v>
      </c>
      <c r="D1551" s="2">
        <v>4464</v>
      </c>
      <c r="E1551" s="2">
        <v>134680</v>
      </c>
      <c r="F1551" s="3">
        <v>72604</v>
      </c>
    </row>
    <row r="1552" spans="1:6" x14ac:dyDescent="0.3">
      <c r="A1552">
        <v>2017</v>
      </c>
      <c r="B1552" t="s">
        <v>56</v>
      </c>
      <c r="C1552" t="s">
        <v>23</v>
      </c>
      <c r="D1552" s="2">
        <v>1877</v>
      </c>
      <c r="E1552" s="2">
        <v>50911</v>
      </c>
      <c r="F1552" s="3">
        <v>55458</v>
      </c>
    </row>
    <row r="1553" spans="1:6" x14ac:dyDescent="0.3">
      <c r="A1553">
        <v>2017</v>
      </c>
      <c r="B1553" t="s">
        <v>56</v>
      </c>
      <c r="C1553" t="s">
        <v>24</v>
      </c>
      <c r="D1553" s="2">
        <v>3901</v>
      </c>
      <c r="E1553" s="2">
        <v>106864</v>
      </c>
      <c r="F1553" s="3">
        <v>77289</v>
      </c>
    </row>
    <row r="1554" spans="1:6" x14ac:dyDescent="0.3">
      <c r="A1554">
        <v>2017</v>
      </c>
      <c r="B1554" t="s">
        <v>56</v>
      </c>
      <c r="C1554" t="s">
        <v>25</v>
      </c>
      <c r="D1554" s="2">
        <v>6850</v>
      </c>
      <c r="E1554" s="2">
        <v>244647</v>
      </c>
      <c r="F1554" s="3">
        <v>88132</v>
      </c>
    </row>
    <row r="1555" spans="1:6" x14ac:dyDescent="0.3">
      <c r="A1555">
        <v>2017</v>
      </c>
      <c r="B1555" t="s">
        <v>56</v>
      </c>
      <c r="C1555" t="s">
        <v>26</v>
      </c>
      <c r="D1555" s="2">
        <v>15721</v>
      </c>
      <c r="E1555" s="2">
        <v>615106</v>
      </c>
      <c r="F1555" s="3">
        <v>66395</v>
      </c>
    </row>
    <row r="1556" spans="1:6" x14ac:dyDescent="0.3">
      <c r="A1556">
        <v>2017</v>
      </c>
      <c r="B1556" t="s">
        <v>56</v>
      </c>
      <c r="C1556" t="s">
        <v>27</v>
      </c>
      <c r="D1556" s="2">
        <v>8369</v>
      </c>
      <c r="E1556" s="2">
        <v>319035</v>
      </c>
      <c r="F1556" s="3">
        <v>65734</v>
      </c>
    </row>
    <row r="1557" spans="1:6" x14ac:dyDescent="0.3">
      <c r="A1557">
        <v>2017</v>
      </c>
      <c r="B1557" t="s">
        <v>56</v>
      </c>
      <c r="C1557" t="s">
        <v>28</v>
      </c>
      <c r="D1557" s="2">
        <v>2441</v>
      </c>
      <c r="E1557" s="2">
        <v>144047</v>
      </c>
      <c r="F1557" s="3">
        <v>48199</v>
      </c>
    </row>
    <row r="1558" spans="1:6" x14ac:dyDescent="0.3">
      <c r="A1558">
        <v>2017</v>
      </c>
      <c r="B1558" t="s">
        <v>56</v>
      </c>
      <c r="C1558" t="s">
        <v>29</v>
      </c>
      <c r="D1558" s="2">
        <v>6636</v>
      </c>
      <c r="E1558" s="2">
        <v>265863</v>
      </c>
      <c r="F1558" s="3">
        <v>57139</v>
      </c>
    </row>
    <row r="1559" spans="1:6" x14ac:dyDescent="0.3">
      <c r="A1559">
        <v>2017</v>
      </c>
      <c r="B1559" t="s">
        <v>56</v>
      </c>
      <c r="C1559" t="s">
        <v>30</v>
      </c>
      <c r="D1559" s="2">
        <v>1572</v>
      </c>
      <c r="E1559" s="2">
        <v>19893</v>
      </c>
      <c r="F1559" s="3">
        <v>48758</v>
      </c>
    </row>
    <row r="1560" spans="1:6" x14ac:dyDescent="0.3">
      <c r="A1560">
        <v>2017</v>
      </c>
      <c r="B1560" t="s">
        <v>56</v>
      </c>
      <c r="C1560" t="s">
        <v>31</v>
      </c>
      <c r="D1560" s="2">
        <v>1977</v>
      </c>
      <c r="E1560" s="2">
        <v>98082</v>
      </c>
      <c r="F1560" s="3">
        <v>49568</v>
      </c>
    </row>
    <row r="1561" spans="1:6" x14ac:dyDescent="0.3">
      <c r="A1561">
        <v>2017</v>
      </c>
      <c r="B1561" t="s">
        <v>56</v>
      </c>
      <c r="C1561" t="s">
        <v>32</v>
      </c>
      <c r="D1561" s="2">
        <v>2043</v>
      </c>
      <c r="E1561" s="2">
        <v>47800</v>
      </c>
      <c r="F1561" s="3">
        <v>56486</v>
      </c>
    </row>
    <row r="1562" spans="1:6" x14ac:dyDescent="0.3">
      <c r="A1562">
        <v>2017</v>
      </c>
      <c r="B1562" t="s">
        <v>56</v>
      </c>
      <c r="C1562" t="s">
        <v>33</v>
      </c>
      <c r="D1562" s="2">
        <v>2011</v>
      </c>
      <c r="E1562" s="2">
        <v>68971</v>
      </c>
      <c r="F1562" s="3">
        <v>70482</v>
      </c>
    </row>
    <row r="1563" spans="1:6" x14ac:dyDescent="0.3">
      <c r="A1563">
        <v>2017</v>
      </c>
      <c r="B1563" t="s">
        <v>56</v>
      </c>
      <c r="C1563" t="s">
        <v>34</v>
      </c>
      <c r="D1563" s="2">
        <v>8962</v>
      </c>
      <c r="E1563" s="2">
        <v>242476</v>
      </c>
      <c r="F1563" s="3">
        <v>78813</v>
      </c>
    </row>
    <row r="1564" spans="1:6" x14ac:dyDescent="0.3">
      <c r="A1564">
        <v>2017</v>
      </c>
      <c r="B1564" t="s">
        <v>56</v>
      </c>
      <c r="C1564" t="s">
        <v>35</v>
      </c>
      <c r="D1564" s="2">
        <v>1724</v>
      </c>
      <c r="E1564" s="2">
        <v>26398</v>
      </c>
      <c r="F1564" s="3">
        <v>53328</v>
      </c>
    </row>
    <row r="1565" spans="1:6" x14ac:dyDescent="0.3">
      <c r="A1565">
        <v>2017</v>
      </c>
      <c r="B1565" t="s">
        <v>56</v>
      </c>
      <c r="C1565" t="s">
        <v>36</v>
      </c>
      <c r="D1565" s="2">
        <v>17319</v>
      </c>
      <c r="E1565" s="2">
        <v>444182</v>
      </c>
      <c r="F1565" s="3">
        <v>65899</v>
      </c>
    </row>
    <row r="1566" spans="1:6" x14ac:dyDescent="0.3">
      <c r="A1566">
        <v>2017</v>
      </c>
      <c r="B1566" t="s">
        <v>56</v>
      </c>
      <c r="C1566" t="s">
        <v>37</v>
      </c>
      <c r="D1566" s="2">
        <v>10287</v>
      </c>
      <c r="E1566" s="2">
        <v>467306</v>
      </c>
      <c r="F1566" s="3">
        <v>58368</v>
      </c>
    </row>
    <row r="1567" spans="1:6" x14ac:dyDescent="0.3">
      <c r="A1567">
        <v>2017</v>
      </c>
      <c r="B1567" t="s">
        <v>56</v>
      </c>
      <c r="C1567" t="s">
        <v>38</v>
      </c>
      <c r="D1567">
        <v>810</v>
      </c>
      <c r="E1567" s="2">
        <v>24680</v>
      </c>
      <c r="F1567" s="3">
        <v>52594</v>
      </c>
    </row>
    <row r="1568" spans="1:6" x14ac:dyDescent="0.3">
      <c r="A1568">
        <v>2017</v>
      </c>
      <c r="B1568" t="s">
        <v>56</v>
      </c>
      <c r="C1568" t="s">
        <v>39</v>
      </c>
      <c r="D1568" s="2">
        <v>15430</v>
      </c>
      <c r="E1568" s="2">
        <v>685942</v>
      </c>
      <c r="F1568" s="3">
        <v>60002</v>
      </c>
    </row>
    <row r="1569" spans="1:6" x14ac:dyDescent="0.3">
      <c r="A1569">
        <v>2017</v>
      </c>
      <c r="B1569" t="s">
        <v>56</v>
      </c>
      <c r="C1569" t="s">
        <v>40</v>
      </c>
      <c r="D1569" s="2">
        <v>4230</v>
      </c>
      <c r="E1569" s="2">
        <v>128122</v>
      </c>
      <c r="F1569" s="3">
        <v>55496</v>
      </c>
    </row>
    <row r="1570" spans="1:6" x14ac:dyDescent="0.3">
      <c r="A1570">
        <v>2017</v>
      </c>
      <c r="B1570" t="s">
        <v>56</v>
      </c>
      <c r="C1570" t="s">
        <v>41</v>
      </c>
      <c r="D1570" s="2">
        <v>6175</v>
      </c>
      <c r="E1570" s="2">
        <v>189318</v>
      </c>
      <c r="F1570" s="3">
        <v>68161</v>
      </c>
    </row>
    <row r="1571" spans="1:6" x14ac:dyDescent="0.3">
      <c r="A1571">
        <v>2017</v>
      </c>
      <c r="B1571" t="s">
        <v>56</v>
      </c>
      <c r="C1571" t="s">
        <v>42</v>
      </c>
      <c r="D1571" s="2">
        <v>14414</v>
      </c>
      <c r="E1571" s="2">
        <v>561774</v>
      </c>
      <c r="F1571" s="3">
        <v>61111</v>
      </c>
    </row>
    <row r="1572" spans="1:6" x14ac:dyDescent="0.3">
      <c r="A1572">
        <v>2017</v>
      </c>
      <c r="B1572" t="s">
        <v>56</v>
      </c>
      <c r="C1572" t="s">
        <v>43</v>
      </c>
      <c r="D1572" s="2">
        <v>1567</v>
      </c>
      <c r="E1572" s="2">
        <v>40341</v>
      </c>
      <c r="F1572" s="3">
        <v>57616</v>
      </c>
    </row>
    <row r="1573" spans="1:6" x14ac:dyDescent="0.3">
      <c r="A1573">
        <v>2017</v>
      </c>
      <c r="B1573" t="s">
        <v>56</v>
      </c>
      <c r="C1573" t="s">
        <v>44</v>
      </c>
      <c r="D1573" s="2">
        <v>5906</v>
      </c>
      <c r="E1573" s="2">
        <v>240456</v>
      </c>
      <c r="F1573" s="3">
        <v>58927</v>
      </c>
    </row>
    <row r="1574" spans="1:6" x14ac:dyDescent="0.3">
      <c r="A1574">
        <v>2017</v>
      </c>
      <c r="B1574" t="s">
        <v>56</v>
      </c>
      <c r="C1574" t="s">
        <v>45</v>
      </c>
      <c r="D1574" s="2">
        <v>1091</v>
      </c>
      <c r="E1574" s="2">
        <v>43081</v>
      </c>
      <c r="F1574" s="3">
        <v>47877</v>
      </c>
    </row>
    <row r="1575" spans="1:6" x14ac:dyDescent="0.3">
      <c r="A1575">
        <v>2017</v>
      </c>
      <c r="B1575" t="s">
        <v>56</v>
      </c>
      <c r="C1575" t="s">
        <v>46</v>
      </c>
      <c r="D1575" s="2">
        <v>6835</v>
      </c>
      <c r="E1575" s="2">
        <v>348417</v>
      </c>
      <c r="F1575" s="3">
        <v>59526</v>
      </c>
    </row>
    <row r="1576" spans="1:6" x14ac:dyDescent="0.3">
      <c r="A1576">
        <v>2017</v>
      </c>
      <c r="B1576" t="s">
        <v>56</v>
      </c>
      <c r="C1576" t="s">
        <v>47</v>
      </c>
      <c r="D1576" s="2">
        <v>24275</v>
      </c>
      <c r="E1576" s="2">
        <v>851513</v>
      </c>
      <c r="F1576" s="3">
        <v>75813</v>
      </c>
    </row>
    <row r="1577" spans="1:6" x14ac:dyDescent="0.3">
      <c r="A1577">
        <v>2017</v>
      </c>
      <c r="B1577" t="s">
        <v>56</v>
      </c>
      <c r="C1577" t="s">
        <v>48</v>
      </c>
      <c r="D1577" s="2">
        <v>4248</v>
      </c>
      <c r="E1577" s="2">
        <v>128365</v>
      </c>
      <c r="F1577" s="3">
        <v>56723</v>
      </c>
    </row>
    <row r="1578" spans="1:6" x14ac:dyDescent="0.3">
      <c r="A1578">
        <v>2017</v>
      </c>
      <c r="B1578" t="s">
        <v>56</v>
      </c>
      <c r="C1578" t="s">
        <v>49</v>
      </c>
      <c r="D1578" s="2">
        <v>1105</v>
      </c>
      <c r="E1578" s="2">
        <v>29550</v>
      </c>
      <c r="F1578" s="3">
        <v>58004</v>
      </c>
    </row>
    <row r="1579" spans="1:6" x14ac:dyDescent="0.3">
      <c r="A1579">
        <v>2017</v>
      </c>
      <c r="B1579" t="s">
        <v>56</v>
      </c>
      <c r="C1579" t="s">
        <v>50</v>
      </c>
      <c r="D1579" s="2">
        <v>6475</v>
      </c>
      <c r="E1579" s="2">
        <v>232927</v>
      </c>
      <c r="F1579" s="3">
        <v>57894</v>
      </c>
    </row>
    <row r="1580" spans="1:6" x14ac:dyDescent="0.3">
      <c r="A1580">
        <v>2017</v>
      </c>
      <c r="B1580" t="s">
        <v>56</v>
      </c>
      <c r="C1580" t="s">
        <v>51</v>
      </c>
      <c r="D1580" s="2">
        <v>7671</v>
      </c>
      <c r="E1580" s="2">
        <v>280368</v>
      </c>
      <c r="F1580" s="3">
        <v>76290</v>
      </c>
    </row>
    <row r="1581" spans="1:6" x14ac:dyDescent="0.3">
      <c r="A1581">
        <v>2017</v>
      </c>
      <c r="B1581" t="s">
        <v>56</v>
      </c>
      <c r="C1581" t="s">
        <v>52</v>
      </c>
      <c r="D1581" s="2">
        <v>1272</v>
      </c>
      <c r="E1581" s="2">
        <v>46575</v>
      </c>
      <c r="F1581" s="3">
        <v>58624</v>
      </c>
    </row>
    <row r="1582" spans="1:6" x14ac:dyDescent="0.3">
      <c r="A1582">
        <v>2017</v>
      </c>
      <c r="B1582" t="s">
        <v>56</v>
      </c>
      <c r="C1582" t="s">
        <v>53</v>
      </c>
      <c r="D1582" s="2">
        <v>9356</v>
      </c>
      <c r="E1582" s="2">
        <v>466595</v>
      </c>
      <c r="F1582" s="3">
        <v>57001</v>
      </c>
    </row>
    <row r="1583" spans="1:6" x14ac:dyDescent="0.3">
      <c r="A1583">
        <v>2017</v>
      </c>
      <c r="B1583" t="s">
        <v>56</v>
      </c>
      <c r="C1583" t="s">
        <v>54</v>
      </c>
      <c r="D1583">
        <v>598</v>
      </c>
      <c r="E1583" s="2">
        <v>9378</v>
      </c>
      <c r="F1583" s="3">
        <v>65834</v>
      </c>
    </row>
    <row r="1584" spans="1:6" x14ac:dyDescent="0.3">
      <c r="A1584">
        <v>2017</v>
      </c>
      <c r="B1584" t="s">
        <v>57</v>
      </c>
      <c r="C1584" t="s">
        <v>7</v>
      </c>
      <c r="D1584" s="2">
        <v>32410</v>
      </c>
      <c r="E1584" s="2">
        <v>375653</v>
      </c>
      <c r="F1584" s="3">
        <v>40518</v>
      </c>
    </row>
    <row r="1585" spans="1:6" x14ac:dyDescent="0.3">
      <c r="A1585">
        <v>2017</v>
      </c>
      <c r="B1585" t="s">
        <v>57</v>
      </c>
      <c r="C1585" t="s">
        <v>8</v>
      </c>
      <c r="D1585" s="2">
        <v>29489</v>
      </c>
      <c r="E1585" s="2">
        <v>518475</v>
      </c>
      <c r="F1585" s="3">
        <v>45126</v>
      </c>
    </row>
    <row r="1586" spans="1:6" x14ac:dyDescent="0.3">
      <c r="A1586">
        <v>2017</v>
      </c>
      <c r="B1586" t="s">
        <v>57</v>
      </c>
      <c r="C1586" t="s">
        <v>9</v>
      </c>
      <c r="D1586" s="2">
        <v>21486</v>
      </c>
      <c r="E1586" s="2">
        <v>247661</v>
      </c>
      <c r="F1586" s="3">
        <v>40275</v>
      </c>
    </row>
    <row r="1587" spans="1:6" x14ac:dyDescent="0.3">
      <c r="A1587">
        <v>2017</v>
      </c>
      <c r="B1587" t="s">
        <v>57</v>
      </c>
      <c r="C1587" t="s">
        <v>10</v>
      </c>
      <c r="D1587" s="2">
        <v>185826</v>
      </c>
      <c r="E1587" s="2">
        <v>3010983</v>
      </c>
      <c r="F1587" s="3">
        <v>51095</v>
      </c>
    </row>
    <row r="1588" spans="1:6" x14ac:dyDescent="0.3">
      <c r="A1588">
        <v>2017</v>
      </c>
      <c r="B1588" t="s">
        <v>57</v>
      </c>
      <c r="C1588" t="s">
        <v>11</v>
      </c>
      <c r="D1588" s="2">
        <v>35715</v>
      </c>
      <c r="E1588" s="2">
        <v>458174</v>
      </c>
      <c r="F1588" s="3">
        <v>48601</v>
      </c>
    </row>
    <row r="1589" spans="1:6" x14ac:dyDescent="0.3">
      <c r="A1589">
        <v>2017</v>
      </c>
      <c r="B1589" t="s">
        <v>57</v>
      </c>
      <c r="C1589" t="s">
        <v>12</v>
      </c>
      <c r="D1589" s="2">
        <v>25027</v>
      </c>
      <c r="E1589" s="2">
        <v>297198</v>
      </c>
      <c r="F1589" s="3">
        <v>50064</v>
      </c>
    </row>
    <row r="1590" spans="1:6" x14ac:dyDescent="0.3">
      <c r="A1590">
        <v>2017</v>
      </c>
      <c r="B1590" t="s">
        <v>57</v>
      </c>
      <c r="C1590" t="s">
        <v>13</v>
      </c>
      <c r="D1590" s="2">
        <v>6681</v>
      </c>
      <c r="E1590" s="2">
        <v>79724</v>
      </c>
      <c r="F1590" s="3">
        <v>39700</v>
      </c>
    </row>
    <row r="1591" spans="1:6" x14ac:dyDescent="0.3">
      <c r="A1591">
        <v>2017</v>
      </c>
      <c r="B1591" t="s">
        <v>57</v>
      </c>
      <c r="C1591" t="s">
        <v>14</v>
      </c>
      <c r="D1591" s="2">
        <v>139501</v>
      </c>
      <c r="E1591" s="2">
        <v>1739867</v>
      </c>
      <c r="F1591" s="3">
        <v>43229</v>
      </c>
    </row>
    <row r="1592" spans="1:6" x14ac:dyDescent="0.3">
      <c r="A1592">
        <v>2017</v>
      </c>
      <c r="B1592" t="s">
        <v>57</v>
      </c>
      <c r="C1592" t="s">
        <v>15</v>
      </c>
      <c r="D1592" s="2">
        <v>60382</v>
      </c>
      <c r="E1592" s="2">
        <v>930943</v>
      </c>
      <c r="F1592" s="3">
        <v>48763</v>
      </c>
    </row>
    <row r="1593" spans="1:6" x14ac:dyDescent="0.3">
      <c r="A1593">
        <v>2017</v>
      </c>
      <c r="B1593" t="s">
        <v>57</v>
      </c>
      <c r="C1593" t="s">
        <v>16</v>
      </c>
      <c r="D1593" s="2">
        <v>11706</v>
      </c>
      <c r="E1593" s="2">
        <v>136606</v>
      </c>
      <c r="F1593" s="3">
        <v>38856</v>
      </c>
    </row>
    <row r="1594" spans="1:6" x14ac:dyDescent="0.3">
      <c r="A1594">
        <v>2017</v>
      </c>
      <c r="B1594" t="s">
        <v>57</v>
      </c>
      <c r="C1594" t="s">
        <v>17</v>
      </c>
      <c r="D1594" s="2">
        <v>77273</v>
      </c>
      <c r="E1594" s="2">
        <v>1192805</v>
      </c>
      <c r="F1594" s="3">
        <v>50025</v>
      </c>
    </row>
    <row r="1595" spans="1:6" x14ac:dyDescent="0.3">
      <c r="A1595">
        <v>2017</v>
      </c>
      <c r="B1595" t="s">
        <v>57</v>
      </c>
      <c r="C1595" t="s">
        <v>18</v>
      </c>
      <c r="D1595" s="2">
        <v>40630</v>
      </c>
      <c r="E1595" s="2">
        <v>588381</v>
      </c>
      <c r="F1595" s="3">
        <v>40479</v>
      </c>
    </row>
    <row r="1596" spans="1:6" x14ac:dyDescent="0.3">
      <c r="A1596">
        <v>2017</v>
      </c>
      <c r="B1596" t="s">
        <v>57</v>
      </c>
      <c r="C1596" t="s">
        <v>19</v>
      </c>
      <c r="D1596" s="2">
        <v>23446</v>
      </c>
      <c r="E1596" s="2">
        <v>311763</v>
      </c>
      <c r="F1596" s="3">
        <v>39025</v>
      </c>
    </row>
    <row r="1597" spans="1:6" x14ac:dyDescent="0.3">
      <c r="A1597">
        <v>2017</v>
      </c>
      <c r="B1597" t="s">
        <v>57</v>
      </c>
      <c r="C1597" t="s">
        <v>20</v>
      </c>
      <c r="D1597" s="2">
        <v>20676</v>
      </c>
      <c r="E1597" s="2">
        <v>263529</v>
      </c>
      <c r="F1597" s="3">
        <v>40705</v>
      </c>
    </row>
    <row r="1598" spans="1:6" x14ac:dyDescent="0.3">
      <c r="A1598">
        <v>2017</v>
      </c>
      <c r="B1598" t="s">
        <v>57</v>
      </c>
      <c r="C1598" t="s">
        <v>21</v>
      </c>
      <c r="D1598" s="2">
        <v>27941</v>
      </c>
      <c r="E1598" s="2">
        <v>398217</v>
      </c>
      <c r="F1598" s="3">
        <v>41261</v>
      </c>
    </row>
    <row r="1599" spans="1:6" x14ac:dyDescent="0.3">
      <c r="A1599">
        <v>2017</v>
      </c>
      <c r="B1599" t="s">
        <v>57</v>
      </c>
      <c r="C1599" t="s">
        <v>22</v>
      </c>
      <c r="D1599" s="2">
        <v>30444</v>
      </c>
      <c r="E1599" s="2">
        <v>378830</v>
      </c>
      <c r="F1599" s="3">
        <v>40938</v>
      </c>
    </row>
    <row r="1600" spans="1:6" x14ac:dyDescent="0.3">
      <c r="A1600">
        <v>2017</v>
      </c>
      <c r="B1600" t="s">
        <v>57</v>
      </c>
      <c r="C1600" t="s">
        <v>23</v>
      </c>
      <c r="D1600" s="2">
        <v>11060</v>
      </c>
      <c r="E1600" s="2">
        <v>119329</v>
      </c>
      <c r="F1600" s="3">
        <v>36287</v>
      </c>
    </row>
    <row r="1601" spans="1:6" x14ac:dyDescent="0.3">
      <c r="A1601">
        <v>2017</v>
      </c>
      <c r="B1601" t="s">
        <v>57</v>
      </c>
      <c r="C1601" t="s">
        <v>24</v>
      </c>
      <c r="D1601" s="2">
        <v>33064</v>
      </c>
      <c r="E1601" s="2">
        <v>462131</v>
      </c>
      <c r="F1601" s="3">
        <v>45367</v>
      </c>
    </row>
    <row r="1602" spans="1:6" x14ac:dyDescent="0.3">
      <c r="A1602">
        <v>2017</v>
      </c>
      <c r="B1602" t="s">
        <v>57</v>
      </c>
      <c r="C1602" t="s">
        <v>25</v>
      </c>
      <c r="D1602" s="2">
        <v>42906</v>
      </c>
      <c r="E1602" s="2">
        <v>577319</v>
      </c>
      <c r="F1602" s="3">
        <v>51500</v>
      </c>
    </row>
    <row r="1603" spans="1:6" x14ac:dyDescent="0.3">
      <c r="A1603">
        <v>2017</v>
      </c>
      <c r="B1603" t="s">
        <v>57</v>
      </c>
      <c r="C1603" t="s">
        <v>26</v>
      </c>
      <c r="D1603" s="2">
        <v>52149</v>
      </c>
      <c r="E1603" s="2">
        <v>784393</v>
      </c>
      <c r="F1603" s="3">
        <v>45628</v>
      </c>
    </row>
    <row r="1604" spans="1:6" x14ac:dyDescent="0.3">
      <c r="A1604">
        <v>2017</v>
      </c>
      <c r="B1604" t="s">
        <v>57</v>
      </c>
      <c r="C1604" t="s">
        <v>27</v>
      </c>
      <c r="D1604" s="2">
        <v>36334</v>
      </c>
      <c r="E1604" s="2">
        <v>531926</v>
      </c>
      <c r="F1604" s="3">
        <v>48273</v>
      </c>
    </row>
    <row r="1605" spans="1:6" x14ac:dyDescent="0.3">
      <c r="A1605">
        <v>2017</v>
      </c>
      <c r="B1605" t="s">
        <v>57</v>
      </c>
      <c r="C1605" t="s">
        <v>28</v>
      </c>
      <c r="D1605" s="2">
        <v>19589</v>
      </c>
      <c r="E1605" s="2">
        <v>229775</v>
      </c>
      <c r="F1605" s="3">
        <v>35324</v>
      </c>
    </row>
    <row r="1606" spans="1:6" x14ac:dyDescent="0.3">
      <c r="A1606">
        <v>2017</v>
      </c>
      <c r="B1606" t="s">
        <v>57</v>
      </c>
      <c r="C1606" t="s">
        <v>29</v>
      </c>
      <c r="D1606" s="2">
        <v>40324</v>
      </c>
      <c r="E1606" s="2">
        <v>538185</v>
      </c>
      <c r="F1606" s="3">
        <v>41095</v>
      </c>
    </row>
    <row r="1607" spans="1:6" x14ac:dyDescent="0.3">
      <c r="A1607">
        <v>2017</v>
      </c>
      <c r="B1607" t="s">
        <v>57</v>
      </c>
      <c r="C1607" t="s">
        <v>30</v>
      </c>
      <c r="D1607" s="2">
        <v>9270</v>
      </c>
      <c r="E1607" s="2">
        <v>91194</v>
      </c>
      <c r="F1607" s="3">
        <v>38067</v>
      </c>
    </row>
    <row r="1608" spans="1:6" x14ac:dyDescent="0.3">
      <c r="A1608">
        <v>2017</v>
      </c>
      <c r="B1608" t="s">
        <v>57</v>
      </c>
      <c r="C1608" t="s">
        <v>31</v>
      </c>
      <c r="D1608" s="2">
        <v>15024</v>
      </c>
      <c r="E1608" s="2">
        <v>190930</v>
      </c>
      <c r="F1608" s="3">
        <v>38493</v>
      </c>
    </row>
    <row r="1609" spans="1:6" x14ac:dyDescent="0.3">
      <c r="A1609">
        <v>2017</v>
      </c>
      <c r="B1609" t="s">
        <v>57</v>
      </c>
      <c r="C1609" t="s">
        <v>32</v>
      </c>
      <c r="D1609" s="2">
        <v>15910</v>
      </c>
      <c r="E1609" s="2">
        <v>247973</v>
      </c>
      <c r="F1609" s="3">
        <v>42847</v>
      </c>
    </row>
    <row r="1610" spans="1:6" x14ac:dyDescent="0.3">
      <c r="A1610">
        <v>2017</v>
      </c>
      <c r="B1610" t="s">
        <v>57</v>
      </c>
      <c r="C1610" t="s">
        <v>33</v>
      </c>
      <c r="D1610" s="2">
        <v>12612</v>
      </c>
      <c r="E1610" s="2">
        <v>139876</v>
      </c>
      <c r="F1610" s="3">
        <v>46101</v>
      </c>
    </row>
    <row r="1611" spans="1:6" x14ac:dyDescent="0.3">
      <c r="A1611">
        <v>2017</v>
      </c>
      <c r="B1611" t="s">
        <v>57</v>
      </c>
      <c r="C1611" t="s">
        <v>34</v>
      </c>
      <c r="D1611" s="2">
        <v>53977</v>
      </c>
      <c r="E1611" s="2">
        <v>872180</v>
      </c>
      <c r="F1611" s="3">
        <v>52631</v>
      </c>
    </row>
    <row r="1612" spans="1:6" x14ac:dyDescent="0.3">
      <c r="A1612">
        <v>2017</v>
      </c>
      <c r="B1612" t="s">
        <v>57</v>
      </c>
      <c r="C1612" t="s">
        <v>35</v>
      </c>
      <c r="D1612" s="2">
        <v>10538</v>
      </c>
      <c r="E1612" s="2">
        <v>134696</v>
      </c>
      <c r="F1612" s="3">
        <v>36519</v>
      </c>
    </row>
    <row r="1613" spans="1:6" x14ac:dyDescent="0.3">
      <c r="A1613">
        <v>2017</v>
      </c>
      <c r="B1613" t="s">
        <v>57</v>
      </c>
      <c r="C1613" t="s">
        <v>36</v>
      </c>
      <c r="D1613" s="2">
        <v>126549</v>
      </c>
      <c r="E1613" s="2">
        <v>1562385</v>
      </c>
      <c r="F1613" s="3">
        <v>50389</v>
      </c>
    </row>
    <row r="1614" spans="1:6" x14ac:dyDescent="0.3">
      <c r="A1614">
        <v>2017</v>
      </c>
      <c r="B1614" t="s">
        <v>57</v>
      </c>
      <c r="C1614" t="s">
        <v>37</v>
      </c>
      <c r="D1614" s="2">
        <v>61042</v>
      </c>
      <c r="E1614" s="2">
        <v>824989</v>
      </c>
      <c r="F1614" s="3">
        <v>41845</v>
      </c>
    </row>
    <row r="1615" spans="1:6" x14ac:dyDescent="0.3">
      <c r="A1615">
        <v>2017</v>
      </c>
      <c r="B1615" t="s">
        <v>57</v>
      </c>
      <c r="C1615" t="s">
        <v>38</v>
      </c>
      <c r="D1615" s="2">
        <v>7819</v>
      </c>
      <c r="E1615" s="2">
        <v>92052</v>
      </c>
      <c r="F1615" s="3">
        <v>47910</v>
      </c>
    </row>
    <row r="1616" spans="1:6" x14ac:dyDescent="0.3">
      <c r="A1616">
        <v>2017</v>
      </c>
      <c r="B1616" t="s">
        <v>57</v>
      </c>
      <c r="C1616" t="s">
        <v>39</v>
      </c>
      <c r="D1616" s="2">
        <v>68763</v>
      </c>
      <c r="E1616" s="2">
        <v>1018161</v>
      </c>
      <c r="F1616" s="3">
        <v>42564</v>
      </c>
    </row>
    <row r="1617" spans="1:6" x14ac:dyDescent="0.3">
      <c r="A1617">
        <v>2017</v>
      </c>
      <c r="B1617" t="s">
        <v>57</v>
      </c>
      <c r="C1617" t="s">
        <v>40</v>
      </c>
      <c r="D1617" s="2">
        <v>23838</v>
      </c>
      <c r="E1617" s="2">
        <v>301165</v>
      </c>
      <c r="F1617" s="3">
        <v>41040</v>
      </c>
    </row>
    <row r="1618" spans="1:6" x14ac:dyDescent="0.3">
      <c r="A1618">
        <v>2017</v>
      </c>
      <c r="B1618" t="s">
        <v>57</v>
      </c>
      <c r="C1618" t="s">
        <v>41</v>
      </c>
      <c r="D1618" s="2">
        <v>26684</v>
      </c>
      <c r="E1618" s="2">
        <v>347515</v>
      </c>
      <c r="F1618" s="3">
        <v>42870</v>
      </c>
    </row>
    <row r="1619" spans="1:6" x14ac:dyDescent="0.3">
      <c r="A1619">
        <v>2017</v>
      </c>
      <c r="B1619" t="s">
        <v>57</v>
      </c>
      <c r="C1619" t="s">
        <v>42</v>
      </c>
      <c r="D1619" s="2">
        <v>75374</v>
      </c>
      <c r="E1619" s="2">
        <v>1115565</v>
      </c>
      <c r="F1619" s="3">
        <v>43972</v>
      </c>
    </row>
    <row r="1620" spans="1:6" x14ac:dyDescent="0.3">
      <c r="A1620">
        <v>2017</v>
      </c>
      <c r="B1620" t="s">
        <v>57</v>
      </c>
      <c r="C1620" t="s">
        <v>43</v>
      </c>
      <c r="D1620" s="2">
        <v>7674</v>
      </c>
      <c r="E1620" s="2">
        <v>76263</v>
      </c>
      <c r="F1620" s="3">
        <v>42503</v>
      </c>
    </row>
    <row r="1621" spans="1:6" x14ac:dyDescent="0.3">
      <c r="A1621">
        <v>2017</v>
      </c>
      <c r="B1621" t="s">
        <v>57</v>
      </c>
      <c r="C1621" t="s">
        <v>44</v>
      </c>
      <c r="D1621" s="2">
        <v>29784</v>
      </c>
      <c r="E1621" s="2">
        <v>395329</v>
      </c>
      <c r="F1621" s="3">
        <v>38973</v>
      </c>
    </row>
    <row r="1622" spans="1:6" x14ac:dyDescent="0.3">
      <c r="A1622">
        <v>2017</v>
      </c>
      <c r="B1622" t="s">
        <v>57</v>
      </c>
      <c r="C1622" t="s">
        <v>45</v>
      </c>
      <c r="D1622" s="2">
        <v>8036</v>
      </c>
      <c r="E1622" s="2">
        <v>86427</v>
      </c>
      <c r="F1622" s="3">
        <v>38278</v>
      </c>
    </row>
    <row r="1623" spans="1:6" x14ac:dyDescent="0.3">
      <c r="A1623">
        <v>2017</v>
      </c>
      <c r="B1623" t="s">
        <v>57</v>
      </c>
      <c r="C1623" t="s">
        <v>46</v>
      </c>
      <c r="D1623" s="2">
        <v>39250</v>
      </c>
      <c r="E1623" s="2">
        <v>618046</v>
      </c>
      <c r="F1623" s="3">
        <v>44773</v>
      </c>
    </row>
    <row r="1624" spans="1:6" x14ac:dyDescent="0.3">
      <c r="A1624">
        <v>2017</v>
      </c>
      <c r="B1624" t="s">
        <v>57</v>
      </c>
      <c r="C1624" t="s">
        <v>47</v>
      </c>
      <c r="D1624" s="2">
        <v>145842</v>
      </c>
      <c r="E1624" s="2">
        <v>2432880</v>
      </c>
      <c r="F1624" s="3">
        <v>50316</v>
      </c>
    </row>
    <row r="1625" spans="1:6" x14ac:dyDescent="0.3">
      <c r="A1625">
        <v>2017</v>
      </c>
      <c r="B1625" t="s">
        <v>57</v>
      </c>
      <c r="C1625" t="s">
        <v>48</v>
      </c>
      <c r="D1625" s="2">
        <v>19048</v>
      </c>
      <c r="E1625" s="2">
        <v>276552</v>
      </c>
      <c r="F1625" s="3">
        <v>42378</v>
      </c>
    </row>
    <row r="1626" spans="1:6" x14ac:dyDescent="0.3">
      <c r="A1626">
        <v>2017</v>
      </c>
      <c r="B1626" t="s">
        <v>57</v>
      </c>
      <c r="C1626" t="s">
        <v>49</v>
      </c>
      <c r="D1626" s="2">
        <v>5138</v>
      </c>
      <c r="E1626" s="2">
        <v>55012</v>
      </c>
      <c r="F1626" s="3">
        <v>38650</v>
      </c>
    </row>
    <row r="1627" spans="1:6" x14ac:dyDescent="0.3">
      <c r="A1627">
        <v>2017</v>
      </c>
      <c r="B1627" t="s">
        <v>57</v>
      </c>
      <c r="C1627" t="s">
        <v>50</v>
      </c>
      <c r="D1627" s="2">
        <v>42996</v>
      </c>
      <c r="E1627" s="2">
        <v>652711</v>
      </c>
      <c r="F1627" s="3">
        <v>42291</v>
      </c>
    </row>
    <row r="1628" spans="1:6" x14ac:dyDescent="0.3">
      <c r="A1628">
        <v>2017</v>
      </c>
      <c r="B1628" t="s">
        <v>57</v>
      </c>
      <c r="C1628" t="s">
        <v>51</v>
      </c>
      <c r="D1628" s="2">
        <v>39715</v>
      </c>
      <c r="E1628" s="2">
        <v>610599</v>
      </c>
      <c r="F1628" s="3">
        <v>58924</v>
      </c>
    </row>
    <row r="1629" spans="1:6" x14ac:dyDescent="0.3">
      <c r="A1629">
        <v>2017</v>
      </c>
      <c r="B1629" t="s">
        <v>57</v>
      </c>
      <c r="C1629" t="s">
        <v>52</v>
      </c>
      <c r="D1629" s="2">
        <v>10925</v>
      </c>
      <c r="E1629" s="2">
        <v>129300</v>
      </c>
      <c r="F1629" s="3">
        <v>37489</v>
      </c>
    </row>
    <row r="1630" spans="1:6" x14ac:dyDescent="0.3">
      <c r="A1630">
        <v>2017</v>
      </c>
      <c r="B1630" t="s">
        <v>57</v>
      </c>
      <c r="C1630" t="s">
        <v>53</v>
      </c>
      <c r="D1630" s="2">
        <v>35433</v>
      </c>
      <c r="E1630" s="2">
        <v>539603</v>
      </c>
      <c r="F1630" s="3">
        <v>39831</v>
      </c>
    </row>
    <row r="1631" spans="1:6" x14ac:dyDescent="0.3">
      <c r="A1631">
        <v>2017</v>
      </c>
      <c r="B1631" t="s">
        <v>57</v>
      </c>
      <c r="C1631" t="s">
        <v>54</v>
      </c>
      <c r="D1631" s="2">
        <v>4822</v>
      </c>
      <c r="E1631" s="2">
        <v>49799</v>
      </c>
      <c r="F1631" s="3">
        <v>40999</v>
      </c>
    </row>
    <row r="1632" spans="1:6" x14ac:dyDescent="0.3">
      <c r="A1632">
        <v>2017</v>
      </c>
      <c r="B1632" t="s">
        <v>58</v>
      </c>
      <c r="C1632" t="s">
        <v>7</v>
      </c>
      <c r="D1632" s="2">
        <v>1969</v>
      </c>
      <c r="E1632" s="2">
        <v>20807</v>
      </c>
      <c r="F1632" s="3">
        <v>58932</v>
      </c>
    </row>
    <row r="1633" spans="1:6" x14ac:dyDescent="0.3">
      <c r="A1633">
        <v>2017</v>
      </c>
      <c r="B1633" t="s">
        <v>58</v>
      </c>
      <c r="C1633" t="s">
        <v>8</v>
      </c>
      <c r="D1633" s="2">
        <v>2461</v>
      </c>
      <c r="E1633" s="2">
        <v>44962</v>
      </c>
      <c r="F1633" s="3">
        <v>71171</v>
      </c>
    </row>
    <row r="1634" spans="1:6" x14ac:dyDescent="0.3">
      <c r="A1634">
        <v>2017</v>
      </c>
      <c r="B1634" t="s">
        <v>58</v>
      </c>
      <c r="C1634" t="s">
        <v>9</v>
      </c>
      <c r="D1634" s="2">
        <v>1123</v>
      </c>
      <c r="E1634" s="2">
        <v>12766</v>
      </c>
      <c r="F1634" s="3">
        <v>56682</v>
      </c>
    </row>
    <row r="1635" spans="1:6" x14ac:dyDescent="0.3">
      <c r="A1635">
        <v>2017</v>
      </c>
      <c r="B1635" t="s">
        <v>58</v>
      </c>
      <c r="C1635" t="s">
        <v>10</v>
      </c>
      <c r="D1635" s="2">
        <v>22519</v>
      </c>
      <c r="E1635" s="2">
        <v>513029</v>
      </c>
      <c r="F1635" s="3">
        <v>172309</v>
      </c>
    </row>
    <row r="1636" spans="1:6" x14ac:dyDescent="0.3">
      <c r="A1636">
        <v>2017</v>
      </c>
      <c r="B1636" t="s">
        <v>58</v>
      </c>
      <c r="C1636" t="s">
        <v>11</v>
      </c>
      <c r="D1636" s="2">
        <v>3891</v>
      </c>
      <c r="E1636" s="2">
        <v>71641</v>
      </c>
      <c r="F1636" s="3">
        <v>100781</v>
      </c>
    </row>
    <row r="1637" spans="1:6" x14ac:dyDescent="0.3">
      <c r="A1637">
        <v>2017</v>
      </c>
      <c r="B1637" t="s">
        <v>58</v>
      </c>
      <c r="C1637" t="s">
        <v>12</v>
      </c>
      <c r="D1637" s="2">
        <v>2146</v>
      </c>
      <c r="E1637" s="2">
        <v>31542</v>
      </c>
      <c r="F1637" s="3">
        <v>103094</v>
      </c>
    </row>
    <row r="1638" spans="1:6" x14ac:dyDescent="0.3">
      <c r="A1638">
        <v>2017</v>
      </c>
      <c r="B1638" t="s">
        <v>58</v>
      </c>
      <c r="C1638" t="s">
        <v>13</v>
      </c>
      <c r="D1638">
        <v>409</v>
      </c>
      <c r="E1638" s="2">
        <v>4560</v>
      </c>
      <c r="F1638" s="3">
        <v>64686</v>
      </c>
    </row>
    <row r="1639" spans="1:6" x14ac:dyDescent="0.3">
      <c r="A1639">
        <v>2017</v>
      </c>
      <c r="B1639" t="s">
        <v>58</v>
      </c>
      <c r="C1639" t="s">
        <v>14</v>
      </c>
      <c r="D1639" s="2">
        <v>10983</v>
      </c>
      <c r="E1639" s="2">
        <v>138039</v>
      </c>
      <c r="F1639" s="3">
        <v>80305</v>
      </c>
    </row>
    <row r="1640" spans="1:6" x14ac:dyDescent="0.3">
      <c r="A1640">
        <v>2017</v>
      </c>
      <c r="B1640" t="s">
        <v>58</v>
      </c>
      <c r="C1640" t="s">
        <v>15</v>
      </c>
      <c r="D1640" s="2">
        <v>4911</v>
      </c>
      <c r="E1640" s="2">
        <v>116074</v>
      </c>
      <c r="F1640" s="3">
        <v>96306</v>
      </c>
    </row>
    <row r="1641" spans="1:6" x14ac:dyDescent="0.3">
      <c r="A1641">
        <v>2017</v>
      </c>
      <c r="B1641" t="s">
        <v>58</v>
      </c>
      <c r="C1641" t="s">
        <v>16</v>
      </c>
      <c r="D1641" s="2">
        <v>1175</v>
      </c>
      <c r="E1641" s="2">
        <v>8923</v>
      </c>
      <c r="F1641" s="3">
        <v>51032</v>
      </c>
    </row>
    <row r="1642" spans="1:6" x14ac:dyDescent="0.3">
      <c r="A1642">
        <v>2017</v>
      </c>
      <c r="B1642" t="s">
        <v>58</v>
      </c>
      <c r="C1642" t="s">
        <v>17</v>
      </c>
      <c r="D1642" s="2">
        <v>6534</v>
      </c>
      <c r="E1642" s="2">
        <v>96181</v>
      </c>
      <c r="F1642" s="3">
        <v>85328</v>
      </c>
    </row>
    <row r="1643" spans="1:6" x14ac:dyDescent="0.3">
      <c r="A1643">
        <v>2017</v>
      </c>
      <c r="B1643" t="s">
        <v>58</v>
      </c>
      <c r="C1643" t="s">
        <v>18</v>
      </c>
      <c r="D1643" s="2">
        <v>2019</v>
      </c>
      <c r="E1643" s="2">
        <v>31465</v>
      </c>
      <c r="F1643" s="3">
        <v>59391</v>
      </c>
    </row>
    <row r="1644" spans="1:6" x14ac:dyDescent="0.3">
      <c r="A1644">
        <v>2017</v>
      </c>
      <c r="B1644" t="s">
        <v>58</v>
      </c>
      <c r="C1644" t="s">
        <v>19</v>
      </c>
      <c r="D1644" s="2">
        <v>1698</v>
      </c>
      <c r="E1644" s="2">
        <v>21891</v>
      </c>
      <c r="F1644" s="3">
        <v>55957</v>
      </c>
    </row>
    <row r="1645" spans="1:6" x14ac:dyDescent="0.3">
      <c r="A1645">
        <v>2017</v>
      </c>
      <c r="B1645" t="s">
        <v>58</v>
      </c>
      <c r="C1645" t="s">
        <v>20</v>
      </c>
      <c r="D1645" s="2">
        <v>1260</v>
      </c>
      <c r="E1645" s="2">
        <v>19279</v>
      </c>
      <c r="F1645" s="3">
        <v>61084</v>
      </c>
    </row>
    <row r="1646" spans="1:6" x14ac:dyDescent="0.3">
      <c r="A1646">
        <v>2017</v>
      </c>
      <c r="B1646" t="s">
        <v>58</v>
      </c>
      <c r="C1646" t="s">
        <v>21</v>
      </c>
      <c r="D1646" s="2">
        <v>1697</v>
      </c>
      <c r="E1646" s="2">
        <v>22698</v>
      </c>
      <c r="F1646" s="3">
        <v>54857</v>
      </c>
    </row>
    <row r="1647" spans="1:6" x14ac:dyDescent="0.3">
      <c r="A1647">
        <v>2017</v>
      </c>
      <c r="B1647" t="s">
        <v>58</v>
      </c>
      <c r="C1647" t="s">
        <v>22</v>
      </c>
      <c r="D1647" s="2">
        <v>1650</v>
      </c>
      <c r="E1647" s="2">
        <v>22941</v>
      </c>
      <c r="F1647" s="3">
        <v>55038</v>
      </c>
    </row>
    <row r="1648" spans="1:6" x14ac:dyDescent="0.3">
      <c r="A1648">
        <v>2017</v>
      </c>
      <c r="B1648" t="s">
        <v>58</v>
      </c>
      <c r="C1648" t="s">
        <v>23</v>
      </c>
      <c r="D1648">
        <v>843</v>
      </c>
      <c r="E1648" s="2">
        <v>7340</v>
      </c>
      <c r="F1648" s="3">
        <v>52561</v>
      </c>
    </row>
    <row r="1649" spans="1:6" x14ac:dyDescent="0.3">
      <c r="A1649">
        <v>2017</v>
      </c>
      <c r="B1649" t="s">
        <v>58</v>
      </c>
      <c r="C1649" t="s">
        <v>24</v>
      </c>
      <c r="D1649" s="2">
        <v>2719</v>
      </c>
      <c r="E1649" s="2">
        <v>37583</v>
      </c>
      <c r="F1649" s="3">
        <v>88009</v>
      </c>
    </row>
    <row r="1650" spans="1:6" x14ac:dyDescent="0.3">
      <c r="A1650">
        <v>2017</v>
      </c>
      <c r="B1650" t="s">
        <v>58</v>
      </c>
      <c r="C1650" t="s">
        <v>25</v>
      </c>
      <c r="D1650" s="2">
        <v>5143</v>
      </c>
      <c r="E1650" s="2">
        <v>91861</v>
      </c>
      <c r="F1650" s="3">
        <v>114166</v>
      </c>
    </row>
    <row r="1651" spans="1:6" x14ac:dyDescent="0.3">
      <c r="A1651">
        <v>2017</v>
      </c>
      <c r="B1651" t="s">
        <v>58</v>
      </c>
      <c r="C1651" t="s">
        <v>26</v>
      </c>
      <c r="D1651" s="2">
        <v>5934</v>
      </c>
      <c r="E1651" s="2">
        <v>56524</v>
      </c>
      <c r="F1651" s="3">
        <v>70884</v>
      </c>
    </row>
    <row r="1652" spans="1:6" x14ac:dyDescent="0.3">
      <c r="A1652">
        <v>2017</v>
      </c>
      <c r="B1652" t="s">
        <v>58</v>
      </c>
      <c r="C1652" t="s">
        <v>27</v>
      </c>
      <c r="D1652" s="2">
        <v>3663</v>
      </c>
      <c r="E1652" s="2">
        <v>50310</v>
      </c>
      <c r="F1652" s="3">
        <v>75459</v>
      </c>
    </row>
    <row r="1653" spans="1:6" x14ac:dyDescent="0.3">
      <c r="A1653">
        <v>2017</v>
      </c>
      <c r="B1653" t="s">
        <v>58</v>
      </c>
      <c r="C1653" t="s">
        <v>28</v>
      </c>
      <c r="D1653">
        <v>962</v>
      </c>
      <c r="E1653" s="2">
        <v>11593</v>
      </c>
      <c r="F1653" s="3">
        <v>48002</v>
      </c>
    </row>
    <row r="1654" spans="1:6" x14ac:dyDescent="0.3">
      <c r="A1654">
        <v>2017</v>
      </c>
      <c r="B1654" t="s">
        <v>58</v>
      </c>
      <c r="C1654" t="s">
        <v>29</v>
      </c>
      <c r="D1654" s="2">
        <v>3051</v>
      </c>
      <c r="E1654" s="2">
        <v>48249</v>
      </c>
      <c r="F1654" s="3">
        <v>73665</v>
      </c>
    </row>
    <row r="1655" spans="1:6" x14ac:dyDescent="0.3">
      <c r="A1655">
        <v>2017</v>
      </c>
      <c r="B1655" t="s">
        <v>58</v>
      </c>
      <c r="C1655" t="s">
        <v>30</v>
      </c>
      <c r="D1655">
        <v>759</v>
      </c>
      <c r="E1655" s="2">
        <v>6394</v>
      </c>
      <c r="F1655" s="3">
        <v>51903</v>
      </c>
    </row>
    <row r="1656" spans="1:6" x14ac:dyDescent="0.3">
      <c r="A1656">
        <v>2017</v>
      </c>
      <c r="B1656" t="s">
        <v>58</v>
      </c>
      <c r="C1656" t="s">
        <v>31</v>
      </c>
      <c r="D1656">
        <v>964</v>
      </c>
      <c r="E1656" s="2">
        <v>18204</v>
      </c>
      <c r="F1656" s="3">
        <v>61365</v>
      </c>
    </row>
    <row r="1657" spans="1:6" x14ac:dyDescent="0.3">
      <c r="A1657">
        <v>2017</v>
      </c>
      <c r="B1657" t="s">
        <v>58</v>
      </c>
      <c r="C1657" t="s">
        <v>32</v>
      </c>
      <c r="D1657" s="2">
        <v>1440</v>
      </c>
      <c r="E1657" s="2">
        <v>14735</v>
      </c>
      <c r="F1657" s="3">
        <v>65866</v>
      </c>
    </row>
    <row r="1658" spans="1:6" x14ac:dyDescent="0.3">
      <c r="A1658">
        <v>2017</v>
      </c>
      <c r="B1658" t="s">
        <v>58</v>
      </c>
      <c r="C1658" t="s">
        <v>33</v>
      </c>
      <c r="D1658">
        <v>843</v>
      </c>
      <c r="E1658" s="2">
        <v>12554</v>
      </c>
      <c r="F1658" s="3">
        <v>88119</v>
      </c>
    </row>
    <row r="1659" spans="1:6" x14ac:dyDescent="0.3">
      <c r="A1659">
        <v>2017</v>
      </c>
      <c r="B1659" t="s">
        <v>58</v>
      </c>
      <c r="C1659" t="s">
        <v>34</v>
      </c>
      <c r="D1659" s="2">
        <v>3595</v>
      </c>
      <c r="E1659" s="2">
        <v>70379</v>
      </c>
      <c r="F1659" s="3">
        <v>108638</v>
      </c>
    </row>
    <row r="1660" spans="1:6" x14ac:dyDescent="0.3">
      <c r="A1660">
        <v>2017</v>
      </c>
      <c r="B1660" t="s">
        <v>58</v>
      </c>
      <c r="C1660" t="s">
        <v>35</v>
      </c>
      <c r="D1660">
        <v>929</v>
      </c>
      <c r="E1660" s="2">
        <v>12398</v>
      </c>
      <c r="F1660" s="3">
        <v>51009</v>
      </c>
    </row>
    <row r="1661" spans="1:6" x14ac:dyDescent="0.3">
      <c r="A1661">
        <v>2017</v>
      </c>
      <c r="B1661" t="s">
        <v>58</v>
      </c>
      <c r="C1661" t="s">
        <v>36</v>
      </c>
      <c r="D1661" s="2">
        <v>12397</v>
      </c>
      <c r="E1661" s="2">
        <v>269233</v>
      </c>
      <c r="F1661" s="3">
        <v>119508</v>
      </c>
    </row>
    <row r="1662" spans="1:6" x14ac:dyDescent="0.3">
      <c r="A1662">
        <v>2017</v>
      </c>
      <c r="B1662" t="s">
        <v>58</v>
      </c>
      <c r="C1662" t="s">
        <v>37</v>
      </c>
      <c r="D1662" s="2">
        <v>5042</v>
      </c>
      <c r="E1662" s="2">
        <v>78826</v>
      </c>
      <c r="F1662" s="3">
        <v>80496</v>
      </c>
    </row>
    <row r="1663" spans="1:6" x14ac:dyDescent="0.3">
      <c r="A1663">
        <v>2017</v>
      </c>
      <c r="B1663" t="s">
        <v>58</v>
      </c>
      <c r="C1663" t="s">
        <v>38</v>
      </c>
      <c r="D1663">
        <v>396</v>
      </c>
      <c r="E1663" s="2">
        <v>6502</v>
      </c>
      <c r="F1663" s="3">
        <v>65114</v>
      </c>
    </row>
    <row r="1664" spans="1:6" x14ac:dyDescent="0.3">
      <c r="A1664">
        <v>2017</v>
      </c>
      <c r="B1664" t="s">
        <v>58</v>
      </c>
      <c r="C1664" t="s">
        <v>39</v>
      </c>
      <c r="D1664" s="2">
        <v>4456</v>
      </c>
      <c r="E1664" s="2">
        <v>71562</v>
      </c>
      <c r="F1664" s="3">
        <v>67912</v>
      </c>
    </row>
    <row r="1665" spans="1:6" x14ac:dyDescent="0.3">
      <c r="A1665">
        <v>2017</v>
      </c>
      <c r="B1665" t="s">
        <v>58</v>
      </c>
      <c r="C1665" t="s">
        <v>40</v>
      </c>
      <c r="D1665" s="2">
        <v>1491</v>
      </c>
      <c r="E1665" s="2">
        <v>20417</v>
      </c>
      <c r="F1665" s="3">
        <v>57922</v>
      </c>
    </row>
    <row r="1666" spans="1:6" x14ac:dyDescent="0.3">
      <c r="A1666">
        <v>2017</v>
      </c>
      <c r="B1666" t="s">
        <v>58</v>
      </c>
      <c r="C1666" t="s">
        <v>41</v>
      </c>
      <c r="D1666" s="2">
        <v>3521</v>
      </c>
      <c r="E1666" s="2">
        <v>34177</v>
      </c>
      <c r="F1666" s="3">
        <v>80210</v>
      </c>
    </row>
    <row r="1667" spans="1:6" x14ac:dyDescent="0.3">
      <c r="A1667">
        <v>2017</v>
      </c>
      <c r="B1667" t="s">
        <v>58</v>
      </c>
      <c r="C1667" t="s">
        <v>42</v>
      </c>
      <c r="D1667" s="2">
        <v>4664</v>
      </c>
      <c r="E1667" s="2">
        <v>83352</v>
      </c>
      <c r="F1667" s="3">
        <v>78987</v>
      </c>
    </row>
    <row r="1668" spans="1:6" x14ac:dyDescent="0.3">
      <c r="A1668">
        <v>2017</v>
      </c>
      <c r="B1668" t="s">
        <v>58</v>
      </c>
      <c r="C1668" t="s">
        <v>43</v>
      </c>
      <c r="D1668">
        <v>745</v>
      </c>
      <c r="E1668" s="2">
        <v>6125</v>
      </c>
      <c r="F1668" s="3">
        <v>70660</v>
      </c>
    </row>
    <row r="1669" spans="1:6" x14ac:dyDescent="0.3">
      <c r="A1669">
        <v>2017</v>
      </c>
      <c r="B1669" t="s">
        <v>58</v>
      </c>
      <c r="C1669" t="s">
        <v>44</v>
      </c>
      <c r="D1669" s="2">
        <v>2430</v>
      </c>
      <c r="E1669" s="2">
        <v>27428</v>
      </c>
      <c r="F1669" s="3">
        <v>61428</v>
      </c>
    </row>
    <row r="1670" spans="1:6" x14ac:dyDescent="0.3">
      <c r="A1670">
        <v>2017</v>
      </c>
      <c r="B1670" t="s">
        <v>58</v>
      </c>
      <c r="C1670" t="s">
        <v>45</v>
      </c>
      <c r="D1670">
        <v>561</v>
      </c>
      <c r="E1670" s="2">
        <v>5720</v>
      </c>
      <c r="F1670" s="3">
        <v>47231</v>
      </c>
    </row>
    <row r="1671" spans="1:6" x14ac:dyDescent="0.3">
      <c r="A1671">
        <v>2017</v>
      </c>
      <c r="B1671" t="s">
        <v>58</v>
      </c>
      <c r="C1671" t="s">
        <v>46</v>
      </c>
      <c r="D1671" s="2">
        <v>3260</v>
      </c>
      <c r="E1671" s="2">
        <v>45482</v>
      </c>
      <c r="F1671" s="3">
        <v>68381</v>
      </c>
    </row>
    <row r="1672" spans="1:6" x14ac:dyDescent="0.3">
      <c r="A1672">
        <v>2017</v>
      </c>
      <c r="B1672" t="s">
        <v>58</v>
      </c>
      <c r="C1672" t="s">
        <v>47</v>
      </c>
      <c r="D1672" s="2">
        <v>9521</v>
      </c>
      <c r="E1672" s="2">
        <v>201873</v>
      </c>
      <c r="F1672" s="3">
        <v>84394</v>
      </c>
    </row>
    <row r="1673" spans="1:6" x14ac:dyDescent="0.3">
      <c r="A1673">
        <v>2017</v>
      </c>
      <c r="B1673" t="s">
        <v>58</v>
      </c>
      <c r="C1673" t="s">
        <v>48</v>
      </c>
      <c r="D1673" s="2">
        <v>2347</v>
      </c>
      <c r="E1673" s="2">
        <v>37185</v>
      </c>
      <c r="F1673" s="3">
        <v>71167</v>
      </c>
    </row>
    <row r="1674" spans="1:6" x14ac:dyDescent="0.3">
      <c r="A1674">
        <v>2017</v>
      </c>
      <c r="B1674" t="s">
        <v>58</v>
      </c>
      <c r="C1674" t="s">
        <v>49</v>
      </c>
      <c r="D1674">
        <v>503</v>
      </c>
      <c r="E1674" s="2">
        <v>4478</v>
      </c>
      <c r="F1674" s="3">
        <v>58372</v>
      </c>
    </row>
    <row r="1675" spans="1:6" x14ac:dyDescent="0.3">
      <c r="A1675">
        <v>2017</v>
      </c>
      <c r="B1675" t="s">
        <v>58</v>
      </c>
      <c r="C1675" t="s">
        <v>50</v>
      </c>
      <c r="D1675" s="2">
        <v>4222</v>
      </c>
      <c r="E1675" s="2">
        <v>67623</v>
      </c>
      <c r="F1675" s="3">
        <v>98219</v>
      </c>
    </row>
    <row r="1676" spans="1:6" x14ac:dyDescent="0.3">
      <c r="A1676">
        <v>2017</v>
      </c>
      <c r="B1676" t="s">
        <v>58</v>
      </c>
      <c r="C1676" t="s">
        <v>51</v>
      </c>
      <c r="D1676" s="2">
        <v>4271</v>
      </c>
      <c r="E1676" s="2">
        <v>125798</v>
      </c>
      <c r="F1676" s="3">
        <v>172513</v>
      </c>
    </row>
    <row r="1677" spans="1:6" x14ac:dyDescent="0.3">
      <c r="A1677">
        <v>2017</v>
      </c>
      <c r="B1677" t="s">
        <v>58</v>
      </c>
      <c r="C1677" t="s">
        <v>52</v>
      </c>
      <c r="D1677">
        <v>764</v>
      </c>
      <c r="E1677" s="2">
        <v>8615</v>
      </c>
      <c r="F1677" s="3">
        <v>50474</v>
      </c>
    </row>
    <row r="1678" spans="1:6" x14ac:dyDescent="0.3">
      <c r="A1678">
        <v>2017</v>
      </c>
      <c r="B1678" t="s">
        <v>58</v>
      </c>
      <c r="C1678" t="s">
        <v>53</v>
      </c>
      <c r="D1678" s="2">
        <v>2126</v>
      </c>
      <c r="E1678" s="2">
        <v>47658</v>
      </c>
      <c r="F1678" s="3">
        <v>71912</v>
      </c>
    </row>
    <row r="1679" spans="1:6" x14ac:dyDescent="0.3">
      <c r="A1679">
        <v>2017</v>
      </c>
      <c r="B1679" t="s">
        <v>58</v>
      </c>
      <c r="C1679" t="s">
        <v>54</v>
      </c>
      <c r="D1679">
        <v>389</v>
      </c>
      <c r="E1679" s="2">
        <v>3680</v>
      </c>
      <c r="F1679" s="3">
        <v>46375</v>
      </c>
    </row>
    <row r="1680" spans="1:6" x14ac:dyDescent="0.3">
      <c r="A1680">
        <v>2017</v>
      </c>
      <c r="B1680" t="s">
        <v>59</v>
      </c>
      <c r="C1680" t="s">
        <v>7</v>
      </c>
      <c r="D1680" s="2">
        <v>13089</v>
      </c>
      <c r="E1680" s="2">
        <v>94756</v>
      </c>
      <c r="F1680" s="3">
        <v>66324</v>
      </c>
    </row>
    <row r="1681" spans="1:6" x14ac:dyDescent="0.3">
      <c r="A1681">
        <v>2017</v>
      </c>
      <c r="B1681" t="s">
        <v>59</v>
      </c>
      <c r="C1681" t="s">
        <v>8</v>
      </c>
      <c r="D1681" s="2">
        <v>15754</v>
      </c>
      <c r="E1681" s="2">
        <v>206540</v>
      </c>
      <c r="F1681" s="3">
        <v>68059</v>
      </c>
    </row>
    <row r="1682" spans="1:6" x14ac:dyDescent="0.3">
      <c r="A1682">
        <v>2017</v>
      </c>
      <c r="B1682" t="s">
        <v>59</v>
      </c>
      <c r="C1682" t="s">
        <v>9</v>
      </c>
      <c r="D1682" s="2">
        <v>8251</v>
      </c>
      <c r="E1682" s="2">
        <v>49596</v>
      </c>
      <c r="F1682" s="3">
        <v>55939</v>
      </c>
    </row>
    <row r="1683" spans="1:6" x14ac:dyDescent="0.3">
      <c r="A1683">
        <v>2017</v>
      </c>
      <c r="B1683" t="s">
        <v>59</v>
      </c>
      <c r="C1683" t="s">
        <v>10</v>
      </c>
      <c r="D1683" s="2">
        <v>98024</v>
      </c>
      <c r="E1683" s="2">
        <v>827494</v>
      </c>
      <c r="F1683" s="3">
        <v>104466</v>
      </c>
    </row>
    <row r="1684" spans="1:6" x14ac:dyDescent="0.3">
      <c r="A1684">
        <v>2017</v>
      </c>
      <c r="B1684" t="s">
        <v>59</v>
      </c>
      <c r="C1684" t="s">
        <v>11</v>
      </c>
      <c r="D1684" s="2">
        <v>22552</v>
      </c>
      <c r="E1684" s="2">
        <v>161870</v>
      </c>
      <c r="F1684" s="3">
        <v>81536</v>
      </c>
    </row>
    <row r="1685" spans="1:6" x14ac:dyDescent="0.3">
      <c r="A1685">
        <v>2017</v>
      </c>
      <c r="B1685" t="s">
        <v>59</v>
      </c>
      <c r="C1685" t="s">
        <v>12</v>
      </c>
      <c r="D1685" s="2">
        <v>10779</v>
      </c>
      <c r="E1685" s="2">
        <v>126051</v>
      </c>
      <c r="F1685" s="3">
        <v>152598</v>
      </c>
    </row>
    <row r="1686" spans="1:6" x14ac:dyDescent="0.3">
      <c r="A1686">
        <v>2017</v>
      </c>
      <c r="B1686" t="s">
        <v>59</v>
      </c>
      <c r="C1686" t="s">
        <v>13</v>
      </c>
      <c r="D1686" s="2">
        <v>2800</v>
      </c>
      <c r="E1686" s="2">
        <v>47894</v>
      </c>
      <c r="F1686" s="3">
        <v>92267</v>
      </c>
    </row>
    <row r="1687" spans="1:6" x14ac:dyDescent="0.3">
      <c r="A1687">
        <v>2017</v>
      </c>
      <c r="B1687" t="s">
        <v>59</v>
      </c>
      <c r="C1687" t="s">
        <v>14</v>
      </c>
      <c r="D1687" s="2">
        <v>71616</v>
      </c>
      <c r="E1687" s="2">
        <v>556510</v>
      </c>
      <c r="F1687" s="3">
        <v>72708</v>
      </c>
    </row>
    <row r="1688" spans="1:6" x14ac:dyDescent="0.3">
      <c r="A1688">
        <v>2017</v>
      </c>
      <c r="B1688" t="s">
        <v>59</v>
      </c>
      <c r="C1688" t="s">
        <v>15</v>
      </c>
      <c r="D1688" s="2">
        <v>25978</v>
      </c>
      <c r="E1688" s="2">
        <v>233995</v>
      </c>
      <c r="F1688" s="3">
        <v>81197</v>
      </c>
    </row>
    <row r="1689" spans="1:6" x14ac:dyDescent="0.3">
      <c r="A1689">
        <v>2017</v>
      </c>
      <c r="B1689" t="s">
        <v>59</v>
      </c>
      <c r="C1689" t="s">
        <v>16</v>
      </c>
      <c r="D1689" s="2">
        <v>5522</v>
      </c>
      <c r="E1689" s="2">
        <v>31064</v>
      </c>
      <c r="F1689" s="3">
        <v>53820</v>
      </c>
    </row>
    <row r="1690" spans="1:6" x14ac:dyDescent="0.3">
      <c r="A1690">
        <v>2017</v>
      </c>
      <c r="B1690" t="s">
        <v>59</v>
      </c>
      <c r="C1690" t="s">
        <v>17</v>
      </c>
      <c r="D1690" s="2">
        <v>32114</v>
      </c>
      <c r="E1690" s="2">
        <v>370517</v>
      </c>
      <c r="F1690" s="3">
        <v>104689</v>
      </c>
    </row>
    <row r="1691" spans="1:6" x14ac:dyDescent="0.3">
      <c r="A1691">
        <v>2017</v>
      </c>
      <c r="B1691" t="s">
        <v>59</v>
      </c>
      <c r="C1691" t="s">
        <v>18</v>
      </c>
      <c r="D1691" s="2">
        <v>16124</v>
      </c>
      <c r="E1691" s="2">
        <v>131758</v>
      </c>
      <c r="F1691" s="3">
        <v>62518</v>
      </c>
    </row>
    <row r="1692" spans="1:6" x14ac:dyDescent="0.3">
      <c r="A1692">
        <v>2017</v>
      </c>
      <c r="B1692" t="s">
        <v>59</v>
      </c>
      <c r="C1692" t="s">
        <v>19</v>
      </c>
      <c r="D1692" s="2">
        <v>9983</v>
      </c>
      <c r="E1692" s="2">
        <v>108983</v>
      </c>
      <c r="F1692" s="3">
        <v>71597</v>
      </c>
    </row>
    <row r="1693" spans="1:6" x14ac:dyDescent="0.3">
      <c r="A1693">
        <v>2017</v>
      </c>
      <c r="B1693" t="s">
        <v>59</v>
      </c>
      <c r="C1693" t="s">
        <v>20</v>
      </c>
      <c r="D1693" s="2">
        <v>8858</v>
      </c>
      <c r="E1693" s="2">
        <v>74321</v>
      </c>
      <c r="F1693" s="3">
        <v>65845</v>
      </c>
    </row>
    <row r="1694" spans="1:6" x14ac:dyDescent="0.3">
      <c r="A1694">
        <v>2017</v>
      </c>
      <c r="B1694" t="s">
        <v>59</v>
      </c>
      <c r="C1694" t="s">
        <v>21</v>
      </c>
      <c r="D1694" s="2">
        <v>10845</v>
      </c>
      <c r="E1694" s="2">
        <v>93126</v>
      </c>
      <c r="F1694" s="3">
        <v>64967</v>
      </c>
    </row>
    <row r="1695" spans="1:6" x14ac:dyDescent="0.3">
      <c r="A1695">
        <v>2017</v>
      </c>
      <c r="B1695" t="s">
        <v>59</v>
      </c>
      <c r="C1695" t="s">
        <v>22</v>
      </c>
      <c r="D1695" s="2">
        <v>13618</v>
      </c>
      <c r="E1695" s="2">
        <v>85771</v>
      </c>
      <c r="F1695" s="3">
        <v>59758</v>
      </c>
    </row>
    <row r="1696" spans="1:6" x14ac:dyDescent="0.3">
      <c r="A1696">
        <v>2017</v>
      </c>
      <c r="B1696" t="s">
        <v>59</v>
      </c>
      <c r="C1696" t="s">
        <v>23</v>
      </c>
      <c r="D1696" s="2">
        <v>3827</v>
      </c>
      <c r="E1696" s="2">
        <v>29417</v>
      </c>
      <c r="F1696" s="3">
        <v>65934</v>
      </c>
    </row>
    <row r="1697" spans="1:6" x14ac:dyDescent="0.3">
      <c r="A1697">
        <v>2017</v>
      </c>
      <c r="B1697" t="s">
        <v>59</v>
      </c>
      <c r="C1697" t="s">
        <v>24</v>
      </c>
      <c r="D1697" s="2">
        <v>15099</v>
      </c>
      <c r="E1697" s="2">
        <v>140287</v>
      </c>
      <c r="F1697" s="3">
        <v>90791</v>
      </c>
    </row>
    <row r="1698" spans="1:6" x14ac:dyDescent="0.3">
      <c r="A1698">
        <v>2017</v>
      </c>
      <c r="B1698" t="s">
        <v>59</v>
      </c>
      <c r="C1698" t="s">
        <v>25</v>
      </c>
      <c r="D1698" s="2">
        <v>17270</v>
      </c>
      <c r="E1698" s="2">
        <v>216567</v>
      </c>
      <c r="F1698" s="3">
        <v>136040</v>
      </c>
    </row>
    <row r="1699" spans="1:6" x14ac:dyDescent="0.3">
      <c r="A1699">
        <v>2017</v>
      </c>
      <c r="B1699" t="s">
        <v>59</v>
      </c>
      <c r="C1699" t="s">
        <v>26</v>
      </c>
      <c r="D1699" s="2">
        <v>18942</v>
      </c>
      <c r="E1699" s="2">
        <v>202358</v>
      </c>
      <c r="F1699" s="3">
        <v>69275</v>
      </c>
    </row>
    <row r="1700" spans="1:6" x14ac:dyDescent="0.3">
      <c r="A1700">
        <v>2017</v>
      </c>
      <c r="B1700" t="s">
        <v>59</v>
      </c>
      <c r="C1700" t="s">
        <v>27</v>
      </c>
      <c r="D1700" s="2">
        <v>15467</v>
      </c>
      <c r="E1700" s="2">
        <v>175945</v>
      </c>
      <c r="F1700" s="3">
        <v>91036</v>
      </c>
    </row>
    <row r="1701" spans="1:6" x14ac:dyDescent="0.3">
      <c r="A1701">
        <v>2017</v>
      </c>
      <c r="B1701" t="s">
        <v>59</v>
      </c>
      <c r="C1701" t="s">
        <v>28</v>
      </c>
      <c r="D1701" s="2">
        <v>7854</v>
      </c>
      <c r="E1701" s="2">
        <v>42981</v>
      </c>
      <c r="F1701" s="3">
        <v>51222</v>
      </c>
    </row>
    <row r="1702" spans="1:6" x14ac:dyDescent="0.3">
      <c r="A1702">
        <v>2017</v>
      </c>
      <c r="B1702" t="s">
        <v>59</v>
      </c>
      <c r="C1702" t="s">
        <v>29</v>
      </c>
      <c r="D1702" s="2">
        <v>17661</v>
      </c>
      <c r="E1702" s="2">
        <v>163353</v>
      </c>
      <c r="F1702" s="3">
        <v>68974</v>
      </c>
    </row>
    <row r="1703" spans="1:6" x14ac:dyDescent="0.3">
      <c r="A1703">
        <v>2017</v>
      </c>
      <c r="B1703" t="s">
        <v>59</v>
      </c>
      <c r="C1703" t="s">
        <v>30</v>
      </c>
      <c r="D1703" s="2">
        <v>4178</v>
      </c>
      <c r="E1703" s="2">
        <v>20935</v>
      </c>
      <c r="F1703" s="3">
        <v>56708</v>
      </c>
    </row>
    <row r="1704" spans="1:6" x14ac:dyDescent="0.3">
      <c r="A1704">
        <v>2017</v>
      </c>
      <c r="B1704" t="s">
        <v>59</v>
      </c>
      <c r="C1704" t="s">
        <v>31</v>
      </c>
      <c r="D1704" s="2">
        <v>6481</v>
      </c>
      <c r="E1704" s="2">
        <v>66237</v>
      </c>
      <c r="F1704" s="3">
        <v>63484</v>
      </c>
    </row>
    <row r="1705" spans="1:6" x14ac:dyDescent="0.3">
      <c r="A1705">
        <v>2017</v>
      </c>
      <c r="B1705" t="s">
        <v>59</v>
      </c>
      <c r="C1705" t="s">
        <v>32</v>
      </c>
      <c r="D1705" s="2">
        <v>8856</v>
      </c>
      <c r="E1705" s="2">
        <v>61375</v>
      </c>
      <c r="F1705" s="3">
        <v>63979</v>
      </c>
    </row>
    <row r="1706" spans="1:6" x14ac:dyDescent="0.3">
      <c r="A1706">
        <v>2017</v>
      </c>
      <c r="B1706" t="s">
        <v>59</v>
      </c>
      <c r="C1706" t="s">
        <v>33</v>
      </c>
      <c r="D1706" s="2">
        <v>3835</v>
      </c>
      <c r="E1706" s="2">
        <v>33894</v>
      </c>
      <c r="F1706" s="3">
        <v>91139</v>
      </c>
    </row>
    <row r="1707" spans="1:6" x14ac:dyDescent="0.3">
      <c r="A1707">
        <v>2017</v>
      </c>
      <c r="B1707" t="s">
        <v>59</v>
      </c>
      <c r="C1707" t="s">
        <v>34</v>
      </c>
      <c r="D1707" s="2">
        <v>19625</v>
      </c>
      <c r="E1707" s="2">
        <v>241026</v>
      </c>
      <c r="F1707" s="3">
        <v>111862</v>
      </c>
    </row>
    <row r="1708" spans="1:6" x14ac:dyDescent="0.3">
      <c r="A1708">
        <v>2017</v>
      </c>
      <c r="B1708" t="s">
        <v>59</v>
      </c>
      <c r="C1708" t="s">
        <v>35</v>
      </c>
      <c r="D1708" s="2">
        <v>5092</v>
      </c>
      <c r="E1708" s="2">
        <v>32604</v>
      </c>
      <c r="F1708" s="3">
        <v>53932</v>
      </c>
    </row>
    <row r="1709" spans="1:6" x14ac:dyDescent="0.3">
      <c r="A1709">
        <v>2017</v>
      </c>
      <c r="B1709" t="s">
        <v>59</v>
      </c>
      <c r="C1709" t="s">
        <v>36</v>
      </c>
      <c r="D1709" s="2">
        <v>65326</v>
      </c>
      <c r="E1709" s="2">
        <v>708995</v>
      </c>
      <c r="F1709" s="3">
        <v>189559</v>
      </c>
    </row>
    <row r="1710" spans="1:6" x14ac:dyDescent="0.3">
      <c r="A1710">
        <v>2017</v>
      </c>
      <c r="B1710" t="s">
        <v>59</v>
      </c>
      <c r="C1710" t="s">
        <v>37</v>
      </c>
      <c r="D1710" s="2">
        <v>27332</v>
      </c>
      <c r="E1710" s="2">
        <v>226679</v>
      </c>
      <c r="F1710" s="3">
        <v>82975</v>
      </c>
    </row>
    <row r="1711" spans="1:6" x14ac:dyDescent="0.3">
      <c r="A1711">
        <v>2017</v>
      </c>
      <c r="B1711" t="s">
        <v>59</v>
      </c>
      <c r="C1711" t="s">
        <v>38</v>
      </c>
      <c r="D1711" s="2">
        <v>2979</v>
      </c>
      <c r="E1711" s="2">
        <v>23135</v>
      </c>
      <c r="F1711" s="3">
        <v>60044</v>
      </c>
    </row>
    <row r="1712" spans="1:6" x14ac:dyDescent="0.3">
      <c r="A1712">
        <v>2017</v>
      </c>
      <c r="B1712" t="s">
        <v>59</v>
      </c>
      <c r="C1712" t="s">
        <v>39</v>
      </c>
      <c r="D1712" s="2">
        <v>28537</v>
      </c>
      <c r="E1712" s="2">
        <v>288615</v>
      </c>
      <c r="F1712" s="3">
        <v>69967</v>
      </c>
    </row>
    <row r="1713" spans="1:6" x14ac:dyDescent="0.3">
      <c r="A1713">
        <v>2017</v>
      </c>
      <c r="B1713" t="s">
        <v>59</v>
      </c>
      <c r="C1713" t="s">
        <v>40</v>
      </c>
      <c r="D1713" s="2">
        <v>11379</v>
      </c>
      <c r="E1713" s="2">
        <v>76757</v>
      </c>
      <c r="F1713" s="3">
        <v>56323</v>
      </c>
    </row>
    <row r="1714" spans="1:6" x14ac:dyDescent="0.3">
      <c r="A1714">
        <v>2017</v>
      </c>
      <c r="B1714" t="s">
        <v>59</v>
      </c>
      <c r="C1714" t="s">
        <v>41</v>
      </c>
      <c r="D1714" s="2">
        <v>12686</v>
      </c>
      <c r="E1714" s="2">
        <v>83715</v>
      </c>
      <c r="F1714" s="3">
        <v>67638</v>
      </c>
    </row>
    <row r="1715" spans="1:6" x14ac:dyDescent="0.3">
      <c r="A1715">
        <v>2017</v>
      </c>
      <c r="B1715" t="s">
        <v>59</v>
      </c>
      <c r="C1715" t="s">
        <v>42</v>
      </c>
      <c r="D1715" s="2">
        <v>28479</v>
      </c>
      <c r="E1715" s="2">
        <v>321121</v>
      </c>
      <c r="F1715" s="3">
        <v>85405</v>
      </c>
    </row>
    <row r="1716" spans="1:6" x14ac:dyDescent="0.3">
      <c r="A1716">
        <v>2017</v>
      </c>
      <c r="B1716" t="s">
        <v>59</v>
      </c>
      <c r="C1716" t="s">
        <v>43</v>
      </c>
      <c r="D1716" s="2">
        <v>2802</v>
      </c>
      <c r="E1716" s="2">
        <v>32758</v>
      </c>
      <c r="F1716" s="3">
        <v>89570</v>
      </c>
    </row>
    <row r="1717" spans="1:6" x14ac:dyDescent="0.3">
      <c r="A1717">
        <v>2017</v>
      </c>
      <c r="B1717" t="s">
        <v>59</v>
      </c>
      <c r="C1717" t="s">
        <v>44</v>
      </c>
      <c r="D1717" s="2">
        <v>12653</v>
      </c>
      <c r="E1717" s="2">
        <v>98790</v>
      </c>
      <c r="F1717" s="3">
        <v>59859</v>
      </c>
    </row>
    <row r="1718" spans="1:6" x14ac:dyDescent="0.3">
      <c r="A1718">
        <v>2017</v>
      </c>
      <c r="B1718" t="s">
        <v>59</v>
      </c>
      <c r="C1718" t="s">
        <v>45</v>
      </c>
      <c r="D1718" s="2">
        <v>3221</v>
      </c>
      <c r="E1718" s="2">
        <v>28761</v>
      </c>
      <c r="F1718" s="3">
        <v>57506</v>
      </c>
    </row>
    <row r="1719" spans="1:6" x14ac:dyDescent="0.3">
      <c r="A1719">
        <v>2017</v>
      </c>
      <c r="B1719" t="s">
        <v>59</v>
      </c>
      <c r="C1719" t="s">
        <v>46</v>
      </c>
      <c r="D1719" s="2">
        <v>15531</v>
      </c>
      <c r="E1719" s="2">
        <v>148433</v>
      </c>
      <c r="F1719" s="3">
        <v>71601</v>
      </c>
    </row>
    <row r="1720" spans="1:6" x14ac:dyDescent="0.3">
      <c r="A1720">
        <v>2017</v>
      </c>
      <c r="B1720" t="s">
        <v>59</v>
      </c>
      <c r="C1720" t="s">
        <v>47</v>
      </c>
      <c r="D1720" s="2">
        <v>71279</v>
      </c>
      <c r="E1720" s="2">
        <v>740328</v>
      </c>
      <c r="F1720" s="3">
        <v>80242</v>
      </c>
    </row>
    <row r="1721" spans="1:6" x14ac:dyDescent="0.3">
      <c r="A1721">
        <v>2017</v>
      </c>
      <c r="B1721" t="s">
        <v>59</v>
      </c>
      <c r="C1721" t="s">
        <v>48</v>
      </c>
      <c r="D1721" s="2">
        <v>11066</v>
      </c>
      <c r="E1721" s="2">
        <v>84072</v>
      </c>
      <c r="F1721" s="3">
        <v>64760</v>
      </c>
    </row>
    <row r="1722" spans="1:6" x14ac:dyDescent="0.3">
      <c r="A1722">
        <v>2017</v>
      </c>
      <c r="B1722" t="s">
        <v>59</v>
      </c>
      <c r="C1722" t="s">
        <v>49</v>
      </c>
      <c r="D1722" s="2">
        <v>1700</v>
      </c>
      <c r="E1722" s="2">
        <v>11731</v>
      </c>
      <c r="F1722" s="3">
        <v>70768</v>
      </c>
    </row>
    <row r="1723" spans="1:6" x14ac:dyDescent="0.3">
      <c r="A1723">
        <v>2017</v>
      </c>
      <c r="B1723" t="s">
        <v>59</v>
      </c>
      <c r="C1723" t="s">
        <v>50</v>
      </c>
      <c r="D1723" s="2">
        <v>21609</v>
      </c>
      <c r="E1723" s="2">
        <v>192079</v>
      </c>
      <c r="F1723" s="3">
        <v>82201</v>
      </c>
    </row>
    <row r="1724" spans="1:6" x14ac:dyDescent="0.3">
      <c r="A1724">
        <v>2017</v>
      </c>
      <c r="B1724" t="s">
        <v>59</v>
      </c>
      <c r="C1724" t="s">
        <v>51</v>
      </c>
      <c r="D1724" s="2">
        <v>17184</v>
      </c>
      <c r="E1724" s="2">
        <v>144458</v>
      </c>
      <c r="F1724" s="3">
        <v>76957</v>
      </c>
    </row>
    <row r="1725" spans="1:6" x14ac:dyDescent="0.3">
      <c r="A1725">
        <v>2017</v>
      </c>
      <c r="B1725" t="s">
        <v>59</v>
      </c>
      <c r="C1725" t="s">
        <v>52</v>
      </c>
      <c r="D1725" s="2">
        <v>3992</v>
      </c>
      <c r="E1725" s="2">
        <v>24123</v>
      </c>
      <c r="F1725" s="3">
        <v>50354</v>
      </c>
    </row>
    <row r="1726" spans="1:6" x14ac:dyDescent="0.3">
      <c r="A1726">
        <v>2017</v>
      </c>
      <c r="B1726" t="s">
        <v>59</v>
      </c>
      <c r="C1726" t="s">
        <v>53</v>
      </c>
      <c r="D1726" s="2">
        <v>13244</v>
      </c>
      <c r="E1726" s="2">
        <v>148873</v>
      </c>
      <c r="F1726" s="3">
        <v>68759</v>
      </c>
    </row>
    <row r="1727" spans="1:6" x14ac:dyDescent="0.3">
      <c r="A1727">
        <v>2017</v>
      </c>
      <c r="B1727" t="s">
        <v>59</v>
      </c>
      <c r="C1727" t="s">
        <v>54</v>
      </c>
      <c r="D1727" s="2">
        <v>2248</v>
      </c>
      <c r="E1727" s="2">
        <v>10938</v>
      </c>
      <c r="F1727" s="3">
        <v>54692</v>
      </c>
    </row>
    <row r="1728" spans="1:6" x14ac:dyDescent="0.3">
      <c r="A1728">
        <v>2017</v>
      </c>
      <c r="B1728" t="s">
        <v>60</v>
      </c>
      <c r="C1728" t="s">
        <v>7</v>
      </c>
      <c r="D1728" s="2">
        <v>21426</v>
      </c>
      <c r="E1728" s="2">
        <v>239356</v>
      </c>
      <c r="F1728" s="3">
        <v>53774</v>
      </c>
    </row>
    <row r="1729" spans="1:6" x14ac:dyDescent="0.3">
      <c r="A1729">
        <v>2017</v>
      </c>
      <c r="B1729" t="s">
        <v>60</v>
      </c>
      <c r="C1729" t="s">
        <v>8</v>
      </c>
      <c r="D1729" s="2">
        <v>31059</v>
      </c>
      <c r="E1729" s="2">
        <v>417456</v>
      </c>
      <c r="F1729" s="3">
        <v>55334</v>
      </c>
    </row>
    <row r="1730" spans="1:6" x14ac:dyDescent="0.3">
      <c r="A1730">
        <v>2017</v>
      </c>
      <c r="B1730" t="s">
        <v>60</v>
      </c>
      <c r="C1730" t="s">
        <v>9</v>
      </c>
      <c r="D1730" s="2">
        <v>13845</v>
      </c>
      <c r="E1730" s="2">
        <v>144215</v>
      </c>
      <c r="F1730" s="3">
        <v>59263</v>
      </c>
    </row>
    <row r="1731" spans="1:6" x14ac:dyDescent="0.3">
      <c r="A1731">
        <v>2017</v>
      </c>
      <c r="B1731" t="s">
        <v>60</v>
      </c>
      <c r="C1731" t="s">
        <v>10</v>
      </c>
      <c r="D1731" s="2">
        <v>188712</v>
      </c>
      <c r="E1731" s="2">
        <v>2551444</v>
      </c>
      <c r="F1731" s="3">
        <v>86955</v>
      </c>
    </row>
    <row r="1732" spans="1:6" x14ac:dyDescent="0.3">
      <c r="A1732">
        <v>2017</v>
      </c>
      <c r="B1732" t="s">
        <v>60</v>
      </c>
      <c r="C1732" t="s">
        <v>11</v>
      </c>
      <c r="D1732" s="2">
        <v>50576</v>
      </c>
      <c r="E1732" s="2">
        <v>412889</v>
      </c>
      <c r="F1732" s="3">
        <v>78698</v>
      </c>
    </row>
    <row r="1733" spans="1:6" x14ac:dyDescent="0.3">
      <c r="A1733">
        <v>2017</v>
      </c>
      <c r="B1733" t="s">
        <v>60</v>
      </c>
      <c r="C1733" t="s">
        <v>12</v>
      </c>
      <c r="D1733" s="2">
        <v>22807</v>
      </c>
      <c r="E1733" s="2">
        <v>218450</v>
      </c>
      <c r="F1733" s="3">
        <v>87307</v>
      </c>
    </row>
    <row r="1734" spans="1:6" x14ac:dyDescent="0.3">
      <c r="A1734">
        <v>2017</v>
      </c>
      <c r="B1734" t="s">
        <v>60</v>
      </c>
      <c r="C1734" t="s">
        <v>13</v>
      </c>
      <c r="D1734" s="2">
        <v>8644</v>
      </c>
      <c r="E1734" s="2">
        <v>61956</v>
      </c>
      <c r="F1734" s="3">
        <v>80600</v>
      </c>
    </row>
    <row r="1735" spans="1:6" x14ac:dyDescent="0.3">
      <c r="A1735">
        <v>2017</v>
      </c>
      <c r="B1735" t="s">
        <v>60</v>
      </c>
      <c r="C1735" t="s">
        <v>14</v>
      </c>
      <c r="D1735" s="2">
        <v>156978</v>
      </c>
      <c r="E1735" s="2">
        <v>1322562</v>
      </c>
      <c r="F1735" s="3">
        <v>58653</v>
      </c>
    </row>
    <row r="1736" spans="1:6" x14ac:dyDescent="0.3">
      <c r="A1736">
        <v>2017</v>
      </c>
      <c r="B1736" t="s">
        <v>60</v>
      </c>
      <c r="C1736" t="s">
        <v>15</v>
      </c>
      <c r="D1736" s="2">
        <v>54102</v>
      </c>
      <c r="E1736" s="2">
        <v>668820</v>
      </c>
      <c r="F1736" s="3">
        <v>64724</v>
      </c>
    </row>
    <row r="1737" spans="1:6" x14ac:dyDescent="0.3">
      <c r="A1737">
        <v>2017</v>
      </c>
      <c r="B1737" t="s">
        <v>60</v>
      </c>
      <c r="C1737" t="s">
        <v>16</v>
      </c>
      <c r="D1737" s="2">
        <v>11075</v>
      </c>
      <c r="E1737" s="2">
        <v>88110</v>
      </c>
      <c r="F1737" s="3">
        <v>48653</v>
      </c>
    </row>
    <row r="1738" spans="1:6" x14ac:dyDescent="0.3">
      <c r="A1738">
        <v>2017</v>
      </c>
      <c r="B1738" t="s">
        <v>60</v>
      </c>
      <c r="C1738" t="s">
        <v>17</v>
      </c>
      <c r="D1738" s="2">
        <v>73447</v>
      </c>
      <c r="E1738" s="2">
        <v>942202</v>
      </c>
      <c r="F1738" s="3">
        <v>73829</v>
      </c>
    </row>
    <row r="1739" spans="1:6" x14ac:dyDescent="0.3">
      <c r="A1739">
        <v>2017</v>
      </c>
      <c r="B1739" t="s">
        <v>60</v>
      </c>
      <c r="C1739" t="s">
        <v>18</v>
      </c>
      <c r="D1739" s="2">
        <v>29045</v>
      </c>
      <c r="E1739" s="2">
        <v>336985</v>
      </c>
      <c r="F1739" s="3">
        <v>50796</v>
      </c>
    </row>
    <row r="1740" spans="1:6" x14ac:dyDescent="0.3">
      <c r="A1740">
        <v>2017</v>
      </c>
      <c r="B1740" t="s">
        <v>60</v>
      </c>
      <c r="C1740" t="s">
        <v>19</v>
      </c>
      <c r="D1740" s="2">
        <v>15401</v>
      </c>
      <c r="E1740" s="2">
        <v>139096</v>
      </c>
      <c r="F1740" s="3">
        <v>52293</v>
      </c>
    </row>
    <row r="1741" spans="1:6" x14ac:dyDescent="0.3">
      <c r="A1741">
        <v>2017</v>
      </c>
      <c r="B1741" t="s">
        <v>60</v>
      </c>
      <c r="C1741" t="s">
        <v>20</v>
      </c>
      <c r="D1741" s="2">
        <v>16569</v>
      </c>
      <c r="E1741" s="2">
        <v>177353</v>
      </c>
      <c r="F1741" s="3">
        <v>59048</v>
      </c>
    </row>
    <row r="1742" spans="1:6" x14ac:dyDescent="0.3">
      <c r="A1742">
        <v>2017</v>
      </c>
      <c r="B1742" t="s">
        <v>60</v>
      </c>
      <c r="C1742" t="s">
        <v>21</v>
      </c>
      <c r="D1742" s="2">
        <v>20206</v>
      </c>
      <c r="E1742" s="2">
        <v>214141</v>
      </c>
      <c r="F1742" s="3">
        <v>48829</v>
      </c>
    </row>
    <row r="1743" spans="1:6" x14ac:dyDescent="0.3">
      <c r="A1743">
        <v>2017</v>
      </c>
      <c r="B1743" t="s">
        <v>60</v>
      </c>
      <c r="C1743" t="s">
        <v>22</v>
      </c>
      <c r="D1743" s="2">
        <v>24001</v>
      </c>
      <c r="E1743" s="2">
        <v>209874</v>
      </c>
      <c r="F1743" s="3">
        <v>55218</v>
      </c>
    </row>
    <row r="1744" spans="1:6" x14ac:dyDescent="0.3">
      <c r="A1744">
        <v>2017</v>
      </c>
      <c r="B1744" t="s">
        <v>60</v>
      </c>
      <c r="C1744" t="s">
        <v>23</v>
      </c>
      <c r="D1744" s="2">
        <v>9912</v>
      </c>
      <c r="E1744" s="2">
        <v>66736</v>
      </c>
      <c r="F1744" s="3">
        <v>55405</v>
      </c>
    </row>
    <row r="1745" spans="1:6" x14ac:dyDescent="0.3">
      <c r="A1745">
        <v>2017</v>
      </c>
      <c r="B1745" t="s">
        <v>60</v>
      </c>
      <c r="C1745" t="s">
        <v>24</v>
      </c>
      <c r="D1745" s="2">
        <v>42175</v>
      </c>
      <c r="E1745" s="2">
        <v>443764</v>
      </c>
      <c r="F1745" s="3">
        <v>77259</v>
      </c>
    </row>
    <row r="1746" spans="1:6" x14ac:dyDescent="0.3">
      <c r="A1746">
        <v>2017</v>
      </c>
      <c r="B1746" t="s">
        <v>60</v>
      </c>
      <c r="C1746" t="s">
        <v>25</v>
      </c>
      <c r="D1746" s="2">
        <v>47186</v>
      </c>
      <c r="E1746" s="2">
        <v>566190</v>
      </c>
      <c r="F1746" s="3">
        <v>102580</v>
      </c>
    </row>
    <row r="1747" spans="1:6" x14ac:dyDescent="0.3">
      <c r="A1747">
        <v>2017</v>
      </c>
      <c r="B1747" t="s">
        <v>60</v>
      </c>
      <c r="C1747" t="s">
        <v>26</v>
      </c>
      <c r="D1747" s="2">
        <v>42271</v>
      </c>
      <c r="E1747" s="2">
        <v>645279</v>
      </c>
      <c r="F1747" s="3">
        <v>68677</v>
      </c>
    </row>
    <row r="1748" spans="1:6" x14ac:dyDescent="0.3">
      <c r="A1748">
        <v>2017</v>
      </c>
      <c r="B1748" t="s">
        <v>60</v>
      </c>
      <c r="C1748" t="s">
        <v>27</v>
      </c>
      <c r="D1748" s="2">
        <v>29916</v>
      </c>
      <c r="E1748" s="2">
        <v>373603</v>
      </c>
      <c r="F1748" s="3">
        <v>80794</v>
      </c>
    </row>
    <row r="1749" spans="1:6" x14ac:dyDescent="0.3">
      <c r="A1749">
        <v>2017</v>
      </c>
      <c r="B1749" t="s">
        <v>60</v>
      </c>
      <c r="C1749" t="s">
        <v>28</v>
      </c>
      <c r="D1749" s="2">
        <v>11953</v>
      </c>
      <c r="E1749" s="2">
        <v>107737</v>
      </c>
      <c r="F1749" s="3">
        <v>41461</v>
      </c>
    </row>
    <row r="1750" spans="1:6" x14ac:dyDescent="0.3">
      <c r="A1750">
        <v>2017</v>
      </c>
      <c r="B1750" t="s">
        <v>60</v>
      </c>
      <c r="C1750" t="s">
        <v>29</v>
      </c>
      <c r="D1750" s="2">
        <v>33699</v>
      </c>
      <c r="E1750" s="2">
        <v>381525</v>
      </c>
      <c r="F1750" s="3">
        <v>63932</v>
      </c>
    </row>
    <row r="1751" spans="1:6" x14ac:dyDescent="0.3">
      <c r="A1751">
        <v>2017</v>
      </c>
      <c r="B1751" t="s">
        <v>60</v>
      </c>
      <c r="C1751" t="s">
        <v>30</v>
      </c>
      <c r="D1751" s="2">
        <v>8994</v>
      </c>
      <c r="E1751" s="2">
        <v>41010</v>
      </c>
      <c r="F1751" s="3">
        <v>50921</v>
      </c>
    </row>
    <row r="1752" spans="1:6" x14ac:dyDescent="0.3">
      <c r="A1752">
        <v>2017</v>
      </c>
      <c r="B1752" t="s">
        <v>60</v>
      </c>
      <c r="C1752" t="s">
        <v>31</v>
      </c>
      <c r="D1752" s="2">
        <v>11395</v>
      </c>
      <c r="E1752" s="2">
        <v>117542</v>
      </c>
      <c r="F1752" s="3">
        <v>59204</v>
      </c>
    </row>
    <row r="1753" spans="1:6" x14ac:dyDescent="0.3">
      <c r="A1753">
        <v>2017</v>
      </c>
      <c r="B1753" t="s">
        <v>60</v>
      </c>
      <c r="C1753" t="s">
        <v>32</v>
      </c>
      <c r="D1753" s="2">
        <v>19521</v>
      </c>
      <c r="E1753" s="2">
        <v>181485</v>
      </c>
      <c r="F1753" s="3">
        <v>58283</v>
      </c>
    </row>
    <row r="1754" spans="1:6" x14ac:dyDescent="0.3">
      <c r="A1754">
        <v>2017</v>
      </c>
      <c r="B1754" t="s">
        <v>60</v>
      </c>
      <c r="C1754" t="s">
        <v>33</v>
      </c>
      <c r="D1754" s="2">
        <v>11938</v>
      </c>
      <c r="E1754" s="2">
        <v>81761</v>
      </c>
      <c r="F1754" s="3">
        <v>75584</v>
      </c>
    </row>
    <row r="1755" spans="1:6" x14ac:dyDescent="0.3">
      <c r="A1755">
        <v>2017</v>
      </c>
      <c r="B1755" t="s">
        <v>60</v>
      </c>
      <c r="C1755" t="s">
        <v>34</v>
      </c>
      <c r="D1755" s="2">
        <v>50907</v>
      </c>
      <c r="E1755" s="2">
        <v>663584</v>
      </c>
      <c r="F1755" s="3">
        <v>88404</v>
      </c>
    </row>
    <row r="1756" spans="1:6" x14ac:dyDescent="0.3">
      <c r="A1756">
        <v>2017</v>
      </c>
      <c r="B1756" t="s">
        <v>60</v>
      </c>
      <c r="C1756" t="s">
        <v>35</v>
      </c>
      <c r="D1756" s="2">
        <v>10062</v>
      </c>
      <c r="E1756" s="2">
        <v>104434</v>
      </c>
      <c r="F1756" s="3">
        <v>60086</v>
      </c>
    </row>
    <row r="1757" spans="1:6" x14ac:dyDescent="0.3">
      <c r="A1757">
        <v>2017</v>
      </c>
      <c r="B1757" t="s">
        <v>60</v>
      </c>
      <c r="C1757" t="s">
        <v>36</v>
      </c>
      <c r="D1757" s="2">
        <v>111646</v>
      </c>
      <c r="E1757" s="2">
        <v>1314408</v>
      </c>
      <c r="F1757" s="3">
        <v>92549</v>
      </c>
    </row>
    <row r="1758" spans="1:6" x14ac:dyDescent="0.3">
      <c r="A1758">
        <v>2017</v>
      </c>
      <c r="B1758" t="s">
        <v>60</v>
      </c>
      <c r="C1758" t="s">
        <v>37</v>
      </c>
      <c r="D1758" s="2">
        <v>57179</v>
      </c>
      <c r="E1758" s="2">
        <v>616193</v>
      </c>
      <c r="F1758" s="3">
        <v>62617</v>
      </c>
    </row>
    <row r="1759" spans="1:6" x14ac:dyDescent="0.3">
      <c r="A1759">
        <v>2017</v>
      </c>
      <c r="B1759" t="s">
        <v>60</v>
      </c>
      <c r="C1759" t="s">
        <v>38</v>
      </c>
      <c r="D1759" s="2">
        <v>4917</v>
      </c>
      <c r="E1759" s="2">
        <v>34300</v>
      </c>
      <c r="F1759" s="3">
        <v>59438</v>
      </c>
    </row>
    <row r="1760" spans="1:6" x14ac:dyDescent="0.3">
      <c r="A1760">
        <v>2017</v>
      </c>
      <c r="B1760" t="s">
        <v>60</v>
      </c>
      <c r="C1760" t="s">
        <v>39</v>
      </c>
      <c r="D1760" s="2">
        <v>52650</v>
      </c>
      <c r="E1760" s="2">
        <v>724748</v>
      </c>
      <c r="F1760" s="3">
        <v>62445</v>
      </c>
    </row>
    <row r="1761" spans="1:6" x14ac:dyDescent="0.3">
      <c r="A1761">
        <v>2017</v>
      </c>
      <c r="B1761" t="s">
        <v>60</v>
      </c>
      <c r="C1761" t="s">
        <v>40</v>
      </c>
      <c r="D1761" s="2">
        <v>20434</v>
      </c>
      <c r="E1761" s="2">
        <v>185534</v>
      </c>
      <c r="F1761" s="3">
        <v>50640</v>
      </c>
    </row>
    <row r="1762" spans="1:6" x14ac:dyDescent="0.3">
      <c r="A1762">
        <v>2017</v>
      </c>
      <c r="B1762" t="s">
        <v>60</v>
      </c>
      <c r="C1762" t="s">
        <v>41</v>
      </c>
      <c r="D1762" s="2">
        <v>24942</v>
      </c>
      <c r="E1762" s="2">
        <v>242708</v>
      </c>
      <c r="F1762" s="3">
        <v>67873</v>
      </c>
    </row>
    <row r="1763" spans="1:6" x14ac:dyDescent="0.3">
      <c r="A1763">
        <v>2017</v>
      </c>
      <c r="B1763" t="s">
        <v>60</v>
      </c>
      <c r="C1763" t="s">
        <v>42</v>
      </c>
      <c r="D1763" s="2">
        <v>61779</v>
      </c>
      <c r="E1763" s="2">
        <v>799939</v>
      </c>
      <c r="F1763" s="3">
        <v>76029</v>
      </c>
    </row>
    <row r="1764" spans="1:6" x14ac:dyDescent="0.3">
      <c r="A1764">
        <v>2017</v>
      </c>
      <c r="B1764" t="s">
        <v>60</v>
      </c>
      <c r="C1764" t="s">
        <v>43</v>
      </c>
      <c r="D1764" s="2">
        <v>8350</v>
      </c>
      <c r="E1764" s="2">
        <v>67366</v>
      </c>
      <c r="F1764" s="3">
        <v>67763</v>
      </c>
    </row>
    <row r="1765" spans="1:6" x14ac:dyDescent="0.3">
      <c r="A1765">
        <v>2017</v>
      </c>
      <c r="B1765" t="s">
        <v>60</v>
      </c>
      <c r="C1765" t="s">
        <v>44</v>
      </c>
      <c r="D1765" s="2">
        <v>25902</v>
      </c>
      <c r="E1765" s="2">
        <v>280711</v>
      </c>
      <c r="F1765" s="3">
        <v>49505</v>
      </c>
    </row>
    <row r="1766" spans="1:6" x14ac:dyDescent="0.3">
      <c r="A1766">
        <v>2017</v>
      </c>
      <c r="B1766" t="s">
        <v>60</v>
      </c>
      <c r="C1766" t="s">
        <v>45</v>
      </c>
      <c r="D1766" s="2">
        <v>5030</v>
      </c>
      <c r="E1766" s="2">
        <v>31264</v>
      </c>
      <c r="F1766" s="3">
        <v>55293</v>
      </c>
    </row>
    <row r="1767" spans="1:6" x14ac:dyDescent="0.3">
      <c r="A1767">
        <v>2017</v>
      </c>
      <c r="B1767" t="s">
        <v>60</v>
      </c>
      <c r="C1767" t="s">
        <v>46</v>
      </c>
      <c r="D1767" s="2">
        <v>28315</v>
      </c>
      <c r="E1767" s="2">
        <v>407133</v>
      </c>
      <c r="F1767" s="3">
        <v>56172</v>
      </c>
    </row>
    <row r="1768" spans="1:6" x14ac:dyDescent="0.3">
      <c r="A1768">
        <v>2017</v>
      </c>
      <c r="B1768" t="s">
        <v>60</v>
      </c>
      <c r="C1768" t="s">
        <v>47</v>
      </c>
      <c r="D1768" s="2">
        <v>129242</v>
      </c>
      <c r="E1768" s="2">
        <v>1666865</v>
      </c>
      <c r="F1768" s="3">
        <v>71507</v>
      </c>
    </row>
    <row r="1769" spans="1:6" x14ac:dyDescent="0.3">
      <c r="A1769">
        <v>2017</v>
      </c>
      <c r="B1769" t="s">
        <v>60</v>
      </c>
      <c r="C1769" t="s">
        <v>48</v>
      </c>
      <c r="D1769" s="2">
        <v>21911</v>
      </c>
      <c r="E1769" s="2">
        <v>205052</v>
      </c>
      <c r="F1769" s="3">
        <v>56815</v>
      </c>
    </row>
    <row r="1770" spans="1:6" x14ac:dyDescent="0.3">
      <c r="A1770">
        <v>2017</v>
      </c>
      <c r="B1770" t="s">
        <v>60</v>
      </c>
      <c r="C1770" t="s">
        <v>49</v>
      </c>
      <c r="D1770" s="2">
        <v>5488</v>
      </c>
      <c r="E1770" s="2">
        <v>28484</v>
      </c>
      <c r="F1770" s="3">
        <v>63457</v>
      </c>
    </row>
    <row r="1771" spans="1:6" x14ac:dyDescent="0.3">
      <c r="A1771">
        <v>2017</v>
      </c>
      <c r="B1771" t="s">
        <v>60</v>
      </c>
      <c r="C1771" t="s">
        <v>50</v>
      </c>
      <c r="D1771" s="2">
        <v>57146</v>
      </c>
      <c r="E1771" s="2">
        <v>725936</v>
      </c>
      <c r="F1771" s="3">
        <v>84971</v>
      </c>
    </row>
    <row r="1772" spans="1:6" x14ac:dyDescent="0.3">
      <c r="A1772">
        <v>2017</v>
      </c>
      <c r="B1772" t="s">
        <v>60</v>
      </c>
      <c r="C1772" t="s">
        <v>51</v>
      </c>
      <c r="D1772" s="2">
        <v>39177</v>
      </c>
      <c r="E1772" s="2">
        <v>404782</v>
      </c>
      <c r="F1772" s="3">
        <v>76348</v>
      </c>
    </row>
    <row r="1773" spans="1:6" x14ac:dyDescent="0.3">
      <c r="A1773">
        <v>2017</v>
      </c>
      <c r="B1773" t="s">
        <v>60</v>
      </c>
      <c r="C1773" t="s">
        <v>52</v>
      </c>
      <c r="D1773" s="2">
        <v>8077</v>
      </c>
      <c r="E1773" s="2">
        <v>66420</v>
      </c>
      <c r="F1773" s="3">
        <v>48213</v>
      </c>
    </row>
    <row r="1774" spans="1:6" x14ac:dyDescent="0.3">
      <c r="A1774">
        <v>2017</v>
      </c>
      <c r="B1774" t="s">
        <v>60</v>
      </c>
      <c r="C1774" t="s">
        <v>53</v>
      </c>
      <c r="D1774" s="2">
        <v>23769</v>
      </c>
      <c r="E1774" s="2">
        <v>324012</v>
      </c>
      <c r="F1774" s="3">
        <v>57868</v>
      </c>
    </row>
    <row r="1775" spans="1:6" x14ac:dyDescent="0.3">
      <c r="A1775">
        <v>2017</v>
      </c>
      <c r="B1775" t="s">
        <v>60</v>
      </c>
      <c r="C1775" t="s">
        <v>54</v>
      </c>
      <c r="D1775" s="2">
        <v>4417</v>
      </c>
      <c r="E1775" s="2">
        <v>18050</v>
      </c>
      <c r="F1775" s="3">
        <v>50226</v>
      </c>
    </row>
    <row r="1776" spans="1:6" x14ac:dyDescent="0.3">
      <c r="A1776">
        <v>2017</v>
      </c>
      <c r="B1776" t="s">
        <v>61</v>
      </c>
      <c r="C1776" t="s">
        <v>7</v>
      </c>
      <c r="D1776" s="2">
        <v>12429</v>
      </c>
      <c r="E1776" s="2">
        <v>229821</v>
      </c>
      <c r="F1776" s="3">
        <v>45641</v>
      </c>
    </row>
    <row r="1777" spans="1:6" x14ac:dyDescent="0.3">
      <c r="A1777">
        <v>2017</v>
      </c>
      <c r="B1777" t="s">
        <v>61</v>
      </c>
      <c r="C1777" t="s">
        <v>8</v>
      </c>
      <c r="D1777" s="2">
        <v>16509</v>
      </c>
      <c r="E1777" s="2">
        <v>420129</v>
      </c>
      <c r="F1777" s="3">
        <v>50240</v>
      </c>
    </row>
    <row r="1778" spans="1:6" x14ac:dyDescent="0.3">
      <c r="A1778">
        <v>2017</v>
      </c>
      <c r="B1778" t="s">
        <v>61</v>
      </c>
      <c r="C1778" t="s">
        <v>9</v>
      </c>
      <c r="D1778" s="2">
        <v>15762</v>
      </c>
      <c r="E1778" s="2">
        <v>183433</v>
      </c>
      <c r="F1778" s="3">
        <v>41521</v>
      </c>
    </row>
    <row r="1779" spans="1:6" x14ac:dyDescent="0.3">
      <c r="A1779">
        <v>2017</v>
      </c>
      <c r="B1779" t="s">
        <v>61</v>
      </c>
      <c r="C1779" t="s">
        <v>10</v>
      </c>
      <c r="D1779" s="2">
        <v>593987</v>
      </c>
      <c r="E1779" s="2">
        <v>2560907</v>
      </c>
      <c r="F1779" s="3">
        <v>50766</v>
      </c>
    </row>
    <row r="1780" spans="1:6" x14ac:dyDescent="0.3">
      <c r="A1780">
        <v>2017</v>
      </c>
      <c r="B1780" t="s">
        <v>61</v>
      </c>
      <c r="C1780" t="s">
        <v>11</v>
      </c>
      <c r="D1780" s="2">
        <v>21356</v>
      </c>
      <c r="E1780" s="2">
        <v>328843</v>
      </c>
      <c r="F1780" s="3">
        <v>48754</v>
      </c>
    </row>
    <row r="1781" spans="1:6" x14ac:dyDescent="0.3">
      <c r="A1781">
        <v>2017</v>
      </c>
      <c r="B1781" t="s">
        <v>61</v>
      </c>
      <c r="C1781" t="s">
        <v>12</v>
      </c>
      <c r="D1781" s="2">
        <v>12701</v>
      </c>
      <c r="E1781" s="2">
        <v>325348</v>
      </c>
      <c r="F1781" s="3">
        <v>53993</v>
      </c>
    </row>
    <row r="1782" spans="1:6" x14ac:dyDescent="0.3">
      <c r="A1782">
        <v>2017</v>
      </c>
      <c r="B1782" t="s">
        <v>61</v>
      </c>
      <c r="C1782" t="s">
        <v>13</v>
      </c>
      <c r="D1782" s="2">
        <v>4626</v>
      </c>
      <c r="E1782" s="2">
        <v>73879</v>
      </c>
      <c r="F1782" s="3">
        <v>53083</v>
      </c>
    </row>
    <row r="1783" spans="1:6" x14ac:dyDescent="0.3">
      <c r="A1783">
        <v>2017</v>
      </c>
      <c r="B1783" t="s">
        <v>61</v>
      </c>
      <c r="C1783" t="s">
        <v>14</v>
      </c>
      <c r="D1783" s="2">
        <v>71929</v>
      </c>
      <c r="E1783" s="2">
        <v>1258710</v>
      </c>
      <c r="F1783" s="3">
        <v>49450</v>
      </c>
    </row>
    <row r="1784" spans="1:6" x14ac:dyDescent="0.3">
      <c r="A1784">
        <v>2017</v>
      </c>
      <c r="B1784" t="s">
        <v>61</v>
      </c>
      <c r="C1784" t="s">
        <v>15</v>
      </c>
      <c r="D1784" s="2">
        <v>28426</v>
      </c>
      <c r="E1784" s="2">
        <v>546707</v>
      </c>
      <c r="F1784" s="3">
        <v>50819</v>
      </c>
    </row>
    <row r="1785" spans="1:6" x14ac:dyDescent="0.3">
      <c r="A1785">
        <v>2017</v>
      </c>
      <c r="B1785" t="s">
        <v>61</v>
      </c>
      <c r="C1785" t="s">
        <v>16</v>
      </c>
      <c r="D1785" s="2">
        <v>7292</v>
      </c>
      <c r="E1785" s="2">
        <v>96246</v>
      </c>
      <c r="F1785" s="3">
        <v>40927</v>
      </c>
    </row>
    <row r="1786" spans="1:6" x14ac:dyDescent="0.3">
      <c r="A1786">
        <v>2017</v>
      </c>
      <c r="B1786" t="s">
        <v>61</v>
      </c>
      <c r="C1786" t="s">
        <v>17</v>
      </c>
      <c r="D1786" s="2">
        <v>34414</v>
      </c>
      <c r="E1786" s="2">
        <v>910288</v>
      </c>
      <c r="F1786" s="3">
        <v>49347</v>
      </c>
    </row>
    <row r="1787" spans="1:6" x14ac:dyDescent="0.3">
      <c r="A1787">
        <v>2017</v>
      </c>
      <c r="B1787" t="s">
        <v>61</v>
      </c>
      <c r="C1787" t="s">
        <v>18</v>
      </c>
      <c r="D1787" s="2">
        <v>15254</v>
      </c>
      <c r="E1787" s="2">
        <v>452646</v>
      </c>
      <c r="F1787" s="3">
        <v>46791</v>
      </c>
    </row>
    <row r="1788" spans="1:6" x14ac:dyDescent="0.3">
      <c r="A1788">
        <v>2017</v>
      </c>
      <c r="B1788" t="s">
        <v>61</v>
      </c>
      <c r="C1788" t="s">
        <v>19</v>
      </c>
      <c r="D1788" s="2">
        <v>11324</v>
      </c>
      <c r="E1788" s="2">
        <v>219362</v>
      </c>
      <c r="F1788" s="3">
        <v>42092</v>
      </c>
    </row>
    <row r="1789" spans="1:6" x14ac:dyDescent="0.3">
      <c r="A1789">
        <v>2017</v>
      </c>
      <c r="B1789" t="s">
        <v>61</v>
      </c>
      <c r="C1789" t="s">
        <v>20</v>
      </c>
      <c r="D1789" s="2">
        <v>10129</v>
      </c>
      <c r="E1789" s="2">
        <v>192638</v>
      </c>
      <c r="F1789" s="3">
        <v>41465</v>
      </c>
    </row>
    <row r="1790" spans="1:6" x14ac:dyDescent="0.3">
      <c r="A1790">
        <v>2017</v>
      </c>
      <c r="B1790" t="s">
        <v>61</v>
      </c>
      <c r="C1790" t="s">
        <v>21</v>
      </c>
      <c r="D1790" s="2">
        <v>17849</v>
      </c>
      <c r="E1790" s="2">
        <v>262151</v>
      </c>
      <c r="F1790" s="3">
        <v>47340</v>
      </c>
    </row>
    <row r="1791" spans="1:6" x14ac:dyDescent="0.3">
      <c r="A1791">
        <v>2017</v>
      </c>
      <c r="B1791" t="s">
        <v>61</v>
      </c>
      <c r="C1791" t="s">
        <v>22</v>
      </c>
      <c r="D1791" s="2">
        <v>15003</v>
      </c>
      <c r="E1791" s="2">
        <v>297694</v>
      </c>
      <c r="F1791" s="3">
        <v>42305</v>
      </c>
    </row>
    <row r="1792" spans="1:6" x14ac:dyDescent="0.3">
      <c r="A1792">
        <v>2017</v>
      </c>
      <c r="B1792" t="s">
        <v>61</v>
      </c>
      <c r="C1792" t="s">
        <v>23</v>
      </c>
      <c r="D1792" s="2">
        <v>6292</v>
      </c>
      <c r="E1792" s="2">
        <v>118412</v>
      </c>
      <c r="F1792" s="3">
        <v>45937</v>
      </c>
    </row>
    <row r="1793" spans="1:6" x14ac:dyDescent="0.3">
      <c r="A1793">
        <v>2017</v>
      </c>
      <c r="B1793" t="s">
        <v>61</v>
      </c>
      <c r="C1793" t="s">
        <v>24</v>
      </c>
      <c r="D1793" s="2">
        <v>20270</v>
      </c>
      <c r="E1793" s="2">
        <v>436185</v>
      </c>
      <c r="F1793" s="3">
        <v>53201</v>
      </c>
    </row>
    <row r="1794" spans="1:6" x14ac:dyDescent="0.3">
      <c r="A1794">
        <v>2017</v>
      </c>
      <c r="B1794" t="s">
        <v>61</v>
      </c>
      <c r="C1794" t="s">
        <v>25</v>
      </c>
      <c r="D1794" s="2">
        <v>61589</v>
      </c>
      <c r="E1794" s="2">
        <v>769824</v>
      </c>
      <c r="F1794" s="3">
        <v>57794</v>
      </c>
    </row>
    <row r="1795" spans="1:6" x14ac:dyDescent="0.3">
      <c r="A1795">
        <v>2017</v>
      </c>
      <c r="B1795" t="s">
        <v>61</v>
      </c>
      <c r="C1795" t="s">
        <v>26</v>
      </c>
      <c r="D1795" s="2">
        <v>24957</v>
      </c>
      <c r="E1795" s="2">
        <v>656020</v>
      </c>
      <c r="F1795" s="3">
        <v>48406</v>
      </c>
    </row>
    <row r="1796" spans="1:6" x14ac:dyDescent="0.3">
      <c r="A1796">
        <v>2017</v>
      </c>
      <c r="B1796" t="s">
        <v>61</v>
      </c>
      <c r="C1796" t="s">
        <v>27</v>
      </c>
      <c r="D1796" s="2">
        <v>17543</v>
      </c>
      <c r="E1796" s="2">
        <v>514711</v>
      </c>
      <c r="F1796" s="3">
        <v>49720</v>
      </c>
    </row>
    <row r="1797" spans="1:6" x14ac:dyDescent="0.3">
      <c r="A1797">
        <v>2017</v>
      </c>
      <c r="B1797" t="s">
        <v>61</v>
      </c>
      <c r="C1797" t="s">
        <v>28</v>
      </c>
      <c r="D1797" s="2">
        <v>7420</v>
      </c>
      <c r="E1797" s="2">
        <v>142412</v>
      </c>
      <c r="F1797" s="3">
        <v>40426</v>
      </c>
    </row>
    <row r="1798" spans="1:6" x14ac:dyDescent="0.3">
      <c r="A1798">
        <v>2017</v>
      </c>
      <c r="B1798" t="s">
        <v>61</v>
      </c>
      <c r="C1798" t="s">
        <v>29</v>
      </c>
      <c r="D1798" s="2">
        <v>48626</v>
      </c>
      <c r="E1798" s="2">
        <v>450671</v>
      </c>
      <c r="F1798" s="3">
        <v>44800</v>
      </c>
    </row>
    <row r="1799" spans="1:6" x14ac:dyDescent="0.3">
      <c r="A1799">
        <v>2017</v>
      </c>
      <c r="B1799" t="s">
        <v>61</v>
      </c>
      <c r="C1799" t="s">
        <v>30</v>
      </c>
      <c r="D1799" s="2">
        <v>4448</v>
      </c>
      <c r="E1799" s="2">
        <v>73262</v>
      </c>
      <c r="F1799" s="3">
        <v>46171</v>
      </c>
    </row>
    <row r="1800" spans="1:6" x14ac:dyDescent="0.3">
      <c r="A1800">
        <v>2017</v>
      </c>
      <c r="B1800" t="s">
        <v>61</v>
      </c>
      <c r="C1800" t="s">
        <v>31</v>
      </c>
      <c r="D1800" s="2">
        <v>13241</v>
      </c>
      <c r="E1800" s="2">
        <v>136970</v>
      </c>
      <c r="F1800" s="3">
        <v>44565</v>
      </c>
    </row>
    <row r="1801" spans="1:6" x14ac:dyDescent="0.3">
      <c r="A1801">
        <v>2017</v>
      </c>
      <c r="B1801" t="s">
        <v>61</v>
      </c>
      <c r="C1801" t="s">
        <v>32</v>
      </c>
      <c r="D1801" s="2">
        <v>8681</v>
      </c>
      <c r="E1801" s="2">
        <v>131756</v>
      </c>
      <c r="F1801" s="3">
        <v>53119</v>
      </c>
    </row>
    <row r="1802" spans="1:6" x14ac:dyDescent="0.3">
      <c r="A1802">
        <v>2017</v>
      </c>
      <c r="B1802" t="s">
        <v>61</v>
      </c>
      <c r="C1802" t="s">
        <v>33</v>
      </c>
      <c r="D1802" s="2">
        <v>4635</v>
      </c>
      <c r="E1802" s="2">
        <v>111212</v>
      </c>
      <c r="F1802" s="3">
        <v>54599</v>
      </c>
    </row>
    <row r="1803" spans="1:6" x14ac:dyDescent="0.3">
      <c r="A1803">
        <v>2017</v>
      </c>
      <c r="B1803" t="s">
        <v>61</v>
      </c>
      <c r="C1803" t="s">
        <v>34</v>
      </c>
      <c r="D1803" s="2">
        <v>33411</v>
      </c>
      <c r="E1803" s="2">
        <v>644049</v>
      </c>
      <c r="F1803" s="3">
        <v>52138</v>
      </c>
    </row>
    <row r="1804" spans="1:6" x14ac:dyDescent="0.3">
      <c r="A1804">
        <v>2017</v>
      </c>
      <c r="B1804" t="s">
        <v>61</v>
      </c>
      <c r="C1804" t="s">
        <v>35</v>
      </c>
      <c r="D1804" s="2">
        <v>9629</v>
      </c>
      <c r="E1804" s="2">
        <v>127804</v>
      </c>
      <c r="F1804" s="3">
        <v>40621</v>
      </c>
    </row>
    <row r="1805" spans="1:6" x14ac:dyDescent="0.3">
      <c r="A1805">
        <v>2017</v>
      </c>
      <c r="B1805" t="s">
        <v>61</v>
      </c>
      <c r="C1805" t="s">
        <v>36</v>
      </c>
      <c r="D1805" s="2">
        <v>67533</v>
      </c>
      <c r="E1805" s="2">
        <v>1847585</v>
      </c>
      <c r="F1805" s="3">
        <v>51932</v>
      </c>
    </row>
    <row r="1806" spans="1:6" x14ac:dyDescent="0.3">
      <c r="A1806">
        <v>2017</v>
      </c>
      <c r="B1806" t="s">
        <v>61</v>
      </c>
      <c r="C1806" t="s">
        <v>37</v>
      </c>
      <c r="D1806" s="2">
        <v>26885</v>
      </c>
      <c r="E1806" s="2">
        <v>578637</v>
      </c>
      <c r="F1806" s="3">
        <v>47135</v>
      </c>
    </row>
    <row r="1807" spans="1:6" x14ac:dyDescent="0.3">
      <c r="A1807">
        <v>2017</v>
      </c>
      <c r="B1807" t="s">
        <v>61</v>
      </c>
      <c r="C1807" t="s">
        <v>38</v>
      </c>
      <c r="D1807" s="2">
        <v>2484</v>
      </c>
      <c r="E1807" s="2">
        <v>61847</v>
      </c>
      <c r="F1807" s="3">
        <v>49915</v>
      </c>
    </row>
    <row r="1808" spans="1:6" x14ac:dyDescent="0.3">
      <c r="A1808">
        <v>2017</v>
      </c>
      <c r="B1808" t="s">
        <v>61</v>
      </c>
      <c r="C1808" t="s">
        <v>39</v>
      </c>
      <c r="D1808" s="2">
        <v>34090</v>
      </c>
      <c r="E1808" s="2">
        <v>897244</v>
      </c>
      <c r="F1808" s="3">
        <v>45314</v>
      </c>
    </row>
    <row r="1809" spans="1:6" x14ac:dyDescent="0.3">
      <c r="A1809">
        <v>2017</v>
      </c>
      <c r="B1809" t="s">
        <v>61</v>
      </c>
      <c r="C1809" t="s">
        <v>40</v>
      </c>
      <c r="D1809" s="2">
        <v>13367</v>
      </c>
      <c r="E1809" s="2">
        <v>208934</v>
      </c>
      <c r="F1809" s="3">
        <v>44167</v>
      </c>
    </row>
    <row r="1810" spans="1:6" x14ac:dyDescent="0.3">
      <c r="A1810">
        <v>2017</v>
      </c>
      <c r="B1810" t="s">
        <v>61</v>
      </c>
      <c r="C1810" t="s">
        <v>41</v>
      </c>
      <c r="D1810" s="2">
        <v>15363</v>
      </c>
      <c r="E1810" s="2">
        <v>266489</v>
      </c>
      <c r="F1810" s="3">
        <v>50908</v>
      </c>
    </row>
    <row r="1811" spans="1:6" x14ac:dyDescent="0.3">
      <c r="A1811">
        <v>2017</v>
      </c>
      <c r="B1811" t="s">
        <v>61</v>
      </c>
      <c r="C1811" t="s">
        <v>42</v>
      </c>
      <c r="D1811" s="2">
        <v>58709</v>
      </c>
      <c r="E1811" s="2">
        <v>1179271</v>
      </c>
      <c r="F1811" s="3">
        <v>50500</v>
      </c>
    </row>
    <row r="1812" spans="1:6" x14ac:dyDescent="0.3">
      <c r="A1812">
        <v>2017</v>
      </c>
      <c r="B1812" t="s">
        <v>61</v>
      </c>
      <c r="C1812" t="s">
        <v>43</v>
      </c>
      <c r="D1812" s="2">
        <v>4485</v>
      </c>
      <c r="E1812" s="2">
        <v>99581</v>
      </c>
      <c r="F1812" s="3">
        <v>47941</v>
      </c>
    </row>
    <row r="1813" spans="1:6" x14ac:dyDescent="0.3">
      <c r="A1813">
        <v>2017</v>
      </c>
      <c r="B1813" t="s">
        <v>61</v>
      </c>
      <c r="C1813" t="s">
        <v>44</v>
      </c>
      <c r="D1813" s="2">
        <v>11574</v>
      </c>
      <c r="E1813" s="2">
        <v>226255</v>
      </c>
      <c r="F1813" s="3">
        <v>45624</v>
      </c>
    </row>
    <row r="1814" spans="1:6" x14ac:dyDescent="0.3">
      <c r="A1814">
        <v>2017</v>
      </c>
      <c r="B1814" t="s">
        <v>61</v>
      </c>
      <c r="C1814" t="s">
        <v>45</v>
      </c>
      <c r="D1814" s="2">
        <v>2732</v>
      </c>
      <c r="E1814" s="2">
        <v>66629</v>
      </c>
      <c r="F1814" s="3">
        <v>49512</v>
      </c>
    </row>
    <row r="1815" spans="1:6" x14ac:dyDescent="0.3">
      <c r="A1815">
        <v>2017</v>
      </c>
      <c r="B1815" t="s">
        <v>61</v>
      </c>
      <c r="C1815" t="s">
        <v>46</v>
      </c>
      <c r="D1815" s="2">
        <v>15761</v>
      </c>
      <c r="E1815" s="2">
        <v>416511</v>
      </c>
      <c r="F1815" s="3">
        <v>50938</v>
      </c>
    </row>
    <row r="1816" spans="1:6" x14ac:dyDescent="0.3">
      <c r="A1816">
        <v>2017</v>
      </c>
      <c r="B1816" t="s">
        <v>61</v>
      </c>
      <c r="C1816" t="s">
        <v>47</v>
      </c>
      <c r="D1816" s="2">
        <v>87635</v>
      </c>
      <c r="E1816" s="2">
        <v>1607487</v>
      </c>
      <c r="F1816" s="3">
        <v>47096</v>
      </c>
    </row>
    <row r="1817" spans="1:6" x14ac:dyDescent="0.3">
      <c r="A1817">
        <v>2017</v>
      </c>
      <c r="B1817" t="s">
        <v>61</v>
      </c>
      <c r="C1817" t="s">
        <v>48</v>
      </c>
      <c r="D1817" s="2">
        <v>11679</v>
      </c>
      <c r="E1817" s="2">
        <v>181402</v>
      </c>
      <c r="F1817" s="3">
        <v>42492</v>
      </c>
    </row>
    <row r="1818" spans="1:6" x14ac:dyDescent="0.3">
      <c r="A1818">
        <v>2017</v>
      </c>
      <c r="B1818" t="s">
        <v>61</v>
      </c>
      <c r="C1818" t="s">
        <v>49</v>
      </c>
      <c r="D1818" s="2">
        <v>2460</v>
      </c>
      <c r="E1818" s="2">
        <v>62109</v>
      </c>
      <c r="F1818" s="3">
        <v>45259</v>
      </c>
    </row>
    <row r="1819" spans="1:6" x14ac:dyDescent="0.3">
      <c r="A1819">
        <v>2017</v>
      </c>
      <c r="B1819" t="s">
        <v>61</v>
      </c>
      <c r="C1819" t="s">
        <v>50</v>
      </c>
      <c r="D1819" s="2">
        <v>42910</v>
      </c>
      <c r="E1819" s="2">
        <v>496944</v>
      </c>
      <c r="F1819" s="3">
        <v>48573</v>
      </c>
    </row>
    <row r="1820" spans="1:6" x14ac:dyDescent="0.3">
      <c r="A1820">
        <v>2017</v>
      </c>
      <c r="B1820" t="s">
        <v>61</v>
      </c>
      <c r="C1820" t="s">
        <v>51</v>
      </c>
      <c r="D1820" s="2">
        <v>56689</v>
      </c>
      <c r="E1820" s="2">
        <v>451563</v>
      </c>
      <c r="F1820" s="3">
        <v>49782</v>
      </c>
    </row>
    <row r="1821" spans="1:6" x14ac:dyDescent="0.3">
      <c r="A1821">
        <v>2017</v>
      </c>
      <c r="B1821" t="s">
        <v>61</v>
      </c>
      <c r="C1821" t="s">
        <v>52</v>
      </c>
      <c r="D1821" s="2">
        <v>5679</v>
      </c>
      <c r="E1821" s="2">
        <v>123772</v>
      </c>
      <c r="F1821" s="3">
        <v>44732</v>
      </c>
    </row>
    <row r="1822" spans="1:6" x14ac:dyDescent="0.3">
      <c r="A1822">
        <v>2017</v>
      </c>
      <c r="B1822" t="s">
        <v>61</v>
      </c>
      <c r="C1822" t="s">
        <v>53</v>
      </c>
      <c r="D1822" s="2">
        <v>25989</v>
      </c>
      <c r="E1822" s="2">
        <v>428367</v>
      </c>
      <c r="F1822" s="3">
        <v>47663</v>
      </c>
    </row>
    <row r="1823" spans="1:6" x14ac:dyDescent="0.3">
      <c r="A1823">
        <v>2017</v>
      </c>
      <c r="B1823" t="s">
        <v>61</v>
      </c>
      <c r="C1823" t="s">
        <v>54</v>
      </c>
      <c r="D1823" s="2">
        <v>3268</v>
      </c>
      <c r="E1823" s="2">
        <v>26479</v>
      </c>
      <c r="F1823" s="3">
        <v>41913</v>
      </c>
    </row>
    <row r="1824" spans="1:6" x14ac:dyDescent="0.3">
      <c r="A1824">
        <v>2017</v>
      </c>
      <c r="B1824" t="s">
        <v>62</v>
      </c>
      <c r="C1824" t="s">
        <v>7</v>
      </c>
      <c r="D1824" s="2">
        <v>10741</v>
      </c>
      <c r="E1824" s="2">
        <v>202336</v>
      </c>
      <c r="F1824" s="3">
        <v>16222</v>
      </c>
    </row>
    <row r="1825" spans="1:6" x14ac:dyDescent="0.3">
      <c r="A1825">
        <v>2017</v>
      </c>
      <c r="B1825" t="s">
        <v>62</v>
      </c>
      <c r="C1825" t="s">
        <v>8</v>
      </c>
      <c r="D1825" s="2">
        <v>12771</v>
      </c>
      <c r="E1825" s="2">
        <v>317076</v>
      </c>
      <c r="F1825" s="3">
        <v>23505</v>
      </c>
    </row>
    <row r="1826" spans="1:6" x14ac:dyDescent="0.3">
      <c r="A1826">
        <v>2017</v>
      </c>
      <c r="B1826" t="s">
        <v>62</v>
      </c>
      <c r="C1826" t="s">
        <v>9</v>
      </c>
      <c r="D1826" s="2">
        <v>7024</v>
      </c>
      <c r="E1826" s="2">
        <v>116690</v>
      </c>
      <c r="F1826" s="3">
        <v>16181</v>
      </c>
    </row>
    <row r="1827" spans="1:6" x14ac:dyDescent="0.3">
      <c r="A1827">
        <v>2017</v>
      </c>
      <c r="B1827" t="s">
        <v>62</v>
      </c>
      <c r="C1827" t="s">
        <v>10</v>
      </c>
      <c r="D1827" s="2">
        <v>103495</v>
      </c>
      <c r="E1827" s="2">
        <v>1935980</v>
      </c>
      <c r="F1827" s="3">
        <v>29214</v>
      </c>
    </row>
    <row r="1828" spans="1:6" x14ac:dyDescent="0.3">
      <c r="A1828">
        <v>2017</v>
      </c>
      <c r="B1828" t="s">
        <v>62</v>
      </c>
      <c r="C1828" t="s">
        <v>11</v>
      </c>
      <c r="D1828" s="2">
        <v>16627</v>
      </c>
      <c r="E1828" s="2">
        <v>333190</v>
      </c>
      <c r="F1828" s="3">
        <v>24462</v>
      </c>
    </row>
    <row r="1829" spans="1:6" x14ac:dyDescent="0.3">
      <c r="A1829">
        <v>2017</v>
      </c>
      <c r="B1829" t="s">
        <v>62</v>
      </c>
      <c r="C1829" t="s">
        <v>12</v>
      </c>
      <c r="D1829" s="2">
        <v>10338</v>
      </c>
      <c r="E1829" s="2">
        <v>156514</v>
      </c>
      <c r="F1829" s="3">
        <v>23066</v>
      </c>
    </row>
    <row r="1830" spans="1:6" x14ac:dyDescent="0.3">
      <c r="A1830">
        <v>2017</v>
      </c>
      <c r="B1830" t="s">
        <v>62</v>
      </c>
      <c r="C1830" t="s">
        <v>13</v>
      </c>
      <c r="D1830" s="2">
        <v>2565</v>
      </c>
      <c r="E1830" s="2">
        <v>50272</v>
      </c>
      <c r="F1830" s="3">
        <v>19997</v>
      </c>
    </row>
    <row r="1831" spans="1:6" x14ac:dyDescent="0.3">
      <c r="A1831">
        <v>2017</v>
      </c>
      <c r="B1831" t="s">
        <v>62</v>
      </c>
      <c r="C1831" t="s">
        <v>14</v>
      </c>
      <c r="D1831" s="2">
        <v>55396</v>
      </c>
      <c r="E1831" s="2">
        <v>1198478</v>
      </c>
      <c r="F1831" s="3">
        <v>24953</v>
      </c>
    </row>
    <row r="1832" spans="1:6" x14ac:dyDescent="0.3">
      <c r="A1832">
        <v>2017</v>
      </c>
      <c r="B1832" t="s">
        <v>62</v>
      </c>
      <c r="C1832" t="s">
        <v>15</v>
      </c>
      <c r="D1832" s="2">
        <v>23538</v>
      </c>
      <c r="E1832" s="2">
        <v>476035</v>
      </c>
      <c r="F1832" s="3">
        <v>20142</v>
      </c>
    </row>
    <row r="1833" spans="1:6" x14ac:dyDescent="0.3">
      <c r="A1833">
        <v>2017</v>
      </c>
      <c r="B1833" t="s">
        <v>62</v>
      </c>
      <c r="C1833" t="s">
        <v>16</v>
      </c>
      <c r="D1833" s="2">
        <v>4906</v>
      </c>
      <c r="E1833" s="2">
        <v>74928</v>
      </c>
      <c r="F1833" s="3">
        <v>16382</v>
      </c>
    </row>
    <row r="1834" spans="1:6" x14ac:dyDescent="0.3">
      <c r="A1834">
        <v>2017</v>
      </c>
      <c r="B1834" t="s">
        <v>62</v>
      </c>
      <c r="C1834" t="s">
        <v>17</v>
      </c>
      <c r="D1834" s="2">
        <v>32076</v>
      </c>
      <c r="E1834" s="2">
        <v>610100</v>
      </c>
      <c r="F1834" s="3">
        <v>22930</v>
      </c>
    </row>
    <row r="1835" spans="1:6" x14ac:dyDescent="0.3">
      <c r="A1835">
        <v>2017</v>
      </c>
      <c r="B1835" t="s">
        <v>62</v>
      </c>
      <c r="C1835" t="s">
        <v>18</v>
      </c>
      <c r="D1835" s="2">
        <v>15273</v>
      </c>
      <c r="E1835" s="2">
        <v>308506</v>
      </c>
      <c r="F1835" s="3">
        <v>18223</v>
      </c>
    </row>
    <row r="1836" spans="1:6" x14ac:dyDescent="0.3">
      <c r="A1836">
        <v>2017</v>
      </c>
      <c r="B1836" t="s">
        <v>62</v>
      </c>
      <c r="C1836" t="s">
        <v>19</v>
      </c>
      <c r="D1836" s="2">
        <v>8532</v>
      </c>
      <c r="E1836" s="2">
        <v>143101</v>
      </c>
      <c r="F1836" s="3">
        <v>16280</v>
      </c>
    </row>
    <row r="1837" spans="1:6" x14ac:dyDescent="0.3">
      <c r="A1837">
        <v>2017</v>
      </c>
      <c r="B1837" t="s">
        <v>62</v>
      </c>
      <c r="C1837" t="s">
        <v>20</v>
      </c>
      <c r="D1837" s="2">
        <v>6839</v>
      </c>
      <c r="E1837" s="2">
        <v>128449</v>
      </c>
      <c r="F1837" s="3">
        <v>16257</v>
      </c>
    </row>
    <row r="1838" spans="1:6" x14ac:dyDescent="0.3">
      <c r="A1838">
        <v>2017</v>
      </c>
      <c r="B1838" t="s">
        <v>62</v>
      </c>
      <c r="C1838" t="s">
        <v>21</v>
      </c>
      <c r="D1838" s="2">
        <v>10063</v>
      </c>
      <c r="E1838" s="2">
        <v>196846</v>
      </c>
      <c r="F1838" s="3">
        <v>17160</v>
      </c>
    </row>
    <row r="1839" spans="1:6" x14ac:dyDescent="0.3">
      <c r="A1839">
        <v>2017</v>
      </c>
      <c r="B1839" t="s">
        <v>62</v>
      </c>
      <c r="C1839" t="s">
        <v>22</v>
      </c>
      <c r="D1839" s="2">
        <v>12015</v>
      </c>
      <c r="E1839" s="2">
        <v>233109</v>
      </c>
      <c r="F1839" s="3">
        <v>20623</v>
      </c>
    </row>
    <row r="1840" spans="1:6" x14ac:dyDescent="0.3">
      <c r="A1840">
        <v>2017</v>
      </c>
      <c r="B1840" t="s">
        <v>62</v>
      </c>
      <c r="C1840" t="s">
        <v>23</v>
      </c>
      <c r="D1840" s="2">
        <v>5119</v>
      </c>
      <c r="E1840" s="2">
        <v>67354</v>
      </c>
      <c r="F1840" s="3">
        <v>21119</v>
      </c>
    </row>
    <row r="1841" spans="1:6" x14ac:dyDescent="0.3">
      <c r="A1841">
        <v>2017</v>
      </c>
      <c r="B1841" t="s">
        <v>62</v>
      </c>
      <c r="C1841" t="s">
        <v>24</v>
      </c>
      <c r="D1841" s="2">
        <v>14733</v>
      </c>
      <c r="E1841" s="2">
        <v>280195</v>
      </c>
      <c r="F1841" s="3">
        <v>23436</v>
      </c>
    </row>
    <row r="1842" spans="1:6" x14ac:dyDescent="0.3">
      <c r="A1842">
        <v>2017</v>
      </c>
      <c r="B1842" t="s">
        <v>62</v>
      </c>
      <c r="C1842" t="s">
        <v>25</v>
      </c>
      <c r="D1842" s="2">
        <v>20695</v>
      </c>
      <c r="E1842" s="2">
        <v>369350</v>
      </c>
      <c r="F1842" s="3">
        <v>26779</v>
      </c>
    </row>
    <row r="1843" spans="1:6" x14ac:dyDescent="0.3">
      <c r="A1843">
        <v>2017</v>
      </c>
      <c r="B1843" t="s">
        <v>62</v>
      </c>
      <c r="C1843" t="s">
        <v>26</v>
      </c>
      <c r="D1843" s="2">
        <v>21783</v>
      </c>
      <c r="E1843" s="2">
        <v>431316</v>
      </c>
      <c r="F1843" s="3">
        <v>19834</v>
      </c>
    </row>
    <row r="1844" spans="1:6" x14ac:dyDescent="0.3">
      <c r="A1844">
        <v>2017</v>
      </c>
      <c r="B1844" t="s">
        <v>62</v>
      </c>
      <c r="C1844" t="s">
        <v>27</v>
      </c>
      <c r="D1844" s="2">
        <v>14729</v>
      </c>
      <c r="E1844" s="2">
        <v>270490</v>
      </c>
      <c r="F1844" s="3">
        <v>21386</v>
      </c>
    </row>
    <row r="1845" spans="1:6" x14ac:dyDescent="0.3">
      <c r="A1845">
        <v>2017</v>
      </c>
      <c r="B1845" t="s">
        <v>62</v>
      </c>
      <c r="C1845" t="s">
        <v>28</v>
      </c>
      <c r="D1845" s="2">
        <v>6381</v>
      </c>
      <c r="E1845" s="2">
        <v>134613</v>
      </c>
      <c r="F1845" s="3">
        <v>17011</v>
      </c>
    </row>
    <row r="1846" spans="1:6" x14ac:dyDescent="0.3">
      <c r="A1846">
        <v>2017</v>
      </c>
      <c r="B1846" t="s">
        <v>62</v>
      </c>
      <c r="C1846" t="s">
        <v>29</v>
      </c>
      <c r="D1846" s="2">
        <v>14797</v>
      </c>
      <c r="E1846" s="2">
        <v>303022</v>
      </c>
      <c r="F1846" s="3">
        <v>20276</v>
      </c>
    </row>
    <row r="1847" spans="1:6" x14ac:dyDescent="0.3">
      <c r="A1847">
        <v>2017</v>
      </c>
      <c r="B1847" t="s">
        <v>62</v>
      </c>
      <c r="C1847" t="s">
        <v>30</v>
      </c>
      <c r="D1847" s="2">
        <v>4978</v>
      </c>
      <c r="E1847" s="2">
        <v>64958</v>
      </c>
      <c r="F1847" s="3">
        <v>18625</v>
      </c>
    </row>
    <row r="1848" spans="1:6" x14ac:dyDescent="0.3">
      <c r="A1848">
        <v>2017</v>
      </c>
      <c r="B1848" t="s">
        <v>62</v>
      </c>
      <c r="C1848" t="s">
        <v>31</v>
      </c>
      <c r="D1848" s="2">
        <v>5508</v>
      </c>
      <c r="E1848" s="2">
        <v>91776</v>
      </c>
      <c r="F1848" s="3">
        <v>16253</v>
      </c>
    </row>
    <row r="1849" spans="1:6" x14ac:dyDescent="0.3">
      <c r="A1849">
        <v>2017</v>
      </c>
      <c r="B1849" t="s">
        <v>62</v>
      </c>
      <c r="C1849" t="s">
        <v>32</v>
      </c>
      <c r="D1849" s="2">
        <v>8246</v>
      </c>
      <c r="E1849" s="2">
        <v>348888</v>
      </c>
      <c r="F1849" s="3">
        <v>33048</v>
      </c>
    </row>
    <row r="1850" spans="1:6" x14ac:dyDescent="0.3">
      <c r="A1850">
        <v>2017</v>
      </c>
      <c r="B1850" t="s">
        <v>62</v>
      </c>
      <c r="C1850" t="s">
        <v>33</v>
      </c>
      <c r="D1850" s="2">
        <v>4512</v>
      </c>
      <c r="E1850" s="2">
        <v>70729</v>
      </c>
      <c r="F1850" s="3">
        <v>21058</v>
      </c>
    </row>
    <row r="1851" spans="1:6" x14ac:dyDescent="0.3">
      <c r="A1851">
        <v>2017</v>
      </c>
      <c r="B1851" t="s">
        <v>62</v>
      </c>
      <c r="C1851" t="s">
        <v>34</v>
      </c>
      <c r="D1851" s="2">
        <v>23501</v>
      </c>
      <c r="E1851" s="2">
        <v>372798</v>
      </c>
      <c r="F1851" s="3">
        <v>24851</v>
      </c>
    </row>
    <row r="1852" spans="1:6" x14ac:dyDescent="0.3">
      <c r="A1852">
        <v>2017</v>
      </c>
      <c r="B1852" t="s">
        <v>62</v>
      </c>
      <c r="C1852" t="s">
        <v>35</v>
      </c>
      <c r="D1852" s="2">
        <v>4929</v>
      </c>
      <c r="E1852" s="2">
        <v>96321</v>
      </c>
      <c r="F1852" s="3">
        <v>17901</v>
      </c>
    </row>
    <row r="1853" spans="1:6" x14ac:dyDescent="0.3">
      <c r="A1853">
        <v>2017</v>
      </c>
      <c r="B1853" t="s">
        <v>62</v>
      </c>
      <c r="C1853" t="s">
        <v>36</v>
      </c>
      <c r="D1853" s="2">
        <v>66166</v>
      </c>
      <c r="E1853" s="2">
        <v>944545</v>
      </c>
      <c r="F1853" s="3">
        <v>32365</v>
      </c>
    </row>
    <row r="1854" spans="1:6" x14ac:dyDescent="0.3">
      <c r="A1854">
        <v>2017</v>
      </c>
      <c r="B1854" t="s">
        <v>62</v>
      </c>
      <c r="C1854" t="s">
        <v>37</v>
      </c>
      <c r="D1854" s="2">
        <v>25235</v>
      </c>
      <c r="E1854" s="2">
        <v>493758</v>
      </c>
      <c r="F1854" s="3">
        <v>19111</v>
      </c>
    </row>
    <row r="1855" spans="1:6" x14ac:dyDescent="0.3">
      <c r="A1855">
        <v>2017</v>
      </c>
      <c r="B1855" t="s">
        <v>62</v>
      </c>
      <c r="C1855" t="s">
        <v>38</v>
      </c>
      <c r="D1855" s="2">
        <v>2600</v>
      </c>
      <c r="E1855" s="2">
        <v>39316</v>
      </c>
      <c r="F1855" s="3">
        <v>17400</v>
      </c>
    </row>
    <row r="1856" spans="1:6" x14ac:dyDescent="0.3">
      <c r="A1856">
        <v>2017</v>
      </c>
      <c r="B1856" t="s">
        <v>62</v>
      </c>
      <c r="C1856" t="s">
        <v>39</v>
      </c>
      <c r="D1856" s="2">
        <v>28218</v>
      </c>
      <c r="E1856" s="2">
        <v>560257</v>
      </c>
      <c r="F1856" s="3">
        <v>18856</v>
      </c>
    </row>
    <row r="1857" spans="1:6" x14ac:dyDescent="0.3">
      <c r="A1857">
        <v>2017</v>
      </c>
      <c r="B1857" t="s">
        <v>62</v>
      </c>
      <c r="C1857" t="s">
        <v>40</v>
      </c>
      <c r="D1857" s="2">
        <v>8969</v>
      </c>
      <c r="E1857" s="2">
        <v>167540</v>
      </c>
      <c r="F1857" s="3">
        <v>17729</v>
      </c>
    </row>
    <row r="1858" spans="1:6" x14ac:dyDescent="0.3">
      <c r="A1858">
        <v>2017</v>
      </c>
      <c r="B1858" t="s">
        <v>62</v>
      </c>
      <c r="C1858" t="s">
        <v>41</v>
      </c>
      <c r="D1858" s="2">
        <v>13588</v>
      </c>
      <c r="E1858" s="2">
        <v>205823</v>
      </c>
      <c r="F1858" s="3">
        <v>21379</v>
      </c>
    </row>
    <row r="1859" spans="1:6" x14ac:dyDescent="0.3">
      <c r="A1859">
        <v>2017</v>
      </c>
      <c r="B1859" t="s">
        <v>62</v>
      </c>
      <c r="C1859" t="s">
        <v>42</v>
      </c>
      <c r="D1859" s="2">
        <v>33146</v>
      </c>
      <c r="E1859" s="2">
        <v>566779</v>
      </c>
      <c r="F1859" s="3">
        <v>20389</v>
      </c>
    </row>
    <row r="1860" spans="1:6" x14ac:dyDescent="0.3">
      <c r="A1860">
        <v>2017</v>
      </c>
      <c r="B1860" t="s">
        <v>62</v>
      </c>
      <c r="C1860" t="s">
        <v>43</v>
      </c>
      <c r="D1860" s="2">
        <v>3683</v>
      </c>
      <c r="E1860" s="2">
        <v>58183</v>
      </c>
      <c r="F1860" s="3">
        <v>22353</v>
      </c>
    </row>
    <row r="1861" spans="1:6" x14ac:dyDescent="0.3">
      <c r="A1861">
        <v>2017</v>
      </c>
      <c r="B1861" t="s">
        <v>62</v>
      </c>
      <c r="C1861" t="s">
        <v>44</v>
      </c>
      <c r="D1861" s="2">
        <v>12337</v>
      </c>
      <c r="E1861" s="2">
        <v>254069</v>
      </c>
      <c r="F1861" s="3">
        <v>17885</v>
      </c>
    </row>
    <row r="1862" spans="1:6" x14ac:dyDescent="0.3">
      <c r="A1862">
        <v>2017</v>
      </c>
      <c r="B1862" t="s">
        <v>62</v>
      </c>
      <c r="C1862" t="s">
        <v>45</v>
      </c>
      <c r="D1862" s="2">
        <v>3109</v>
      </c>
      <c r="E1862" s="2">
        <v>46967</v>
      </c>
      <c r="F1862" s="3">
        <v>16460</v>
      </c>
    </row>
    <row r="1863" spans="1:6" x14ac:dyDescent="0.3">
      <c r="A1863">
        <v>2017</v>
      </c>
      <c r="B1863" t="s">
        <v>62</v>
      </c>
      <c r="C1863" t="s">
        <v>46</v>
      </c>
      <c r="D1863" s="2">
        <v>15932</v>
      </c>
      <c r="E1863" s="2">
        <v>328856</v>
      </c>
      <c r="F1863" s="3">
        <v>22398</v>
      </c>
    </row>
    <row r="1864" spans="1:6" x14ac:dyDescent="0.3">
      <c r="A1864">
        <v>2017</v>
      </c>
      <c r="B1864" t="s">
        <v>62</v>
      </c>
      <c r="C1864" t="s">
        <v>47</v>
      </c>
      <c r="D1864" s="2">
        <v>60744</v>
      </c>
      <c r="E1864" s="2">
        <v>1317762</v>
      </c>
      <c r="F1864" s="3">
        <v>21234</v>
      </c>
    </row>
    <row r="1865" spans="1:6" x14ac:dyDescent="0.3">
      <c r="A1865">
        <v>2017</v>
      </c>
      <c r="B1865" t="s">
        <v>62</v>
      </c>
      <c r="C1865" t="s">
        <v>48</v>
      </c>
      <c r="D1865" s="2">
        <v>7068</v>
      </c>
      <c r="E1865" s="2">
        <v>142985</v>
      </c>
      <c r="F1865" s="3">
        <v>19510</v>
      </c>
    </row>
    <row r="1866" spans="1:6" x14ac:dyDescent="0.3">
      <c r="A1866">
        <v>2017</v>
      </c>
      <c r="B1866" t="s">
        <v>62</v>
      </c>
      <c r="C1866" t="s">
        <v>49</v>
      </c>
      <c r="D1866" s="2">
        <v>2266</v>
      </c>
      <c r="E1866" s="2">
        <v>37337</v>
      </c>
      <c r="F1866" s="3">
        <v>22375</v>
      </c>
    </row>
    <row r="1867" spans="1:6" x14ac:dyDescent="0.3">
      <c r="A1867">
        <v>2017</v>
      </c>
      <c r="B1867" t="s">
        <v>62</v>
      </c>
      <c r="C1867" t="s">
        <v>50</v>
      </c>
      <c r="D1867" s="2">
        <v>20269</v>
      </c>
      <c r="E1867" s="2">
        <v>402475</v>
      </c>
      <c r="F1867" s="3">
        <v>20078</v>
      </c>
    </row>
    <row r="1868" spans="1:6" x14ac:dyDescent="0.3">
      <c r="A1868">
        <v>2017</v>
      </c>
      <c r="B1868" t="s">
        <v>62</v>
      </c>
      <c r="C1868" t="s">
        <v>51</v>
      </c>
      <c r="D1868" s="2">
        <v>20065</v>
      </c>
      <c r="E1868" s="2">
        <v>325141</v>
      </c>
      <c r="F1868" s="3">
        <v>24250</v>
      </c>
    </row>
    <row r="1869" spans="1:6" x14ac:dyDescent="0.3">
      <c r="A1869">
        <v>2017</v>
      </c>
      <c r="B1869" t="s">
        <v>62</v>
      </c>
      <c r="C1869" t="s">
        <v>52</v>
      </c>
      <c r="D1869" s="2">
        <v>4646</v>
      </c>
      <c r="E1869" s="2">
        <v>74275</v>
      </c>
      <c r="F1869" s="3">
        <v>17335</v>
      </c>
    </row>
    <row r="1870" spans="1:6" x14ac:dyDescent="0.3">
      <c r="A1870">
        <v>2017</v>
      </c>
      <c r="B1870" t="s">
        <v>62</v>
      </c>
      <c r="C1870" t="s">
        <v>53</v>
      </c>
      <c r="D1870" s="2">
        <v>16599</v>
      </c>
      <c r="E1870" s="2">
        <v>279749</v>
      </c>
      <c r="F1870" s="3">
        <v>17248</v>
      </c>
    </row>
    <row r="1871" spans="1:6" x14ac:dyDescent="0.3">
      <c r="A1871">
        <v>2017</v>
      </c>
      <c r="B1871" t="s">
        <v>62</v>
      </c>
      <c r="C1871" t="s">
        <v>54</v>
      </c>
      <c r="D1871" s="2">
        <v>2355</v>
      </c>
      <c r="E1871" s="2">
        <v>36297</v>
      </c>
      <c r="F1871" s="3">
        <v>19867</v>
      </c>
    </row>
    <row r="1872" spans="1:6" x14ac:dyDescent="0.3">
      <c r="A1872">
        <v>2017</v>
      </c>
      <c r="B1872" t="s">
        <v>63</v>
      </c>
      <c r="C1872" t="s">
        <v>7</v>
      </c>
      <c r="D1872" s="2">
        <v>9603</v>
      </c>
      <c r="E1872" s="2">
        <v>45296</v>
      </c>
      <c r="F1872" s="3">
        <v>36539</v>
      </c>
    </row>
    <row r="1873" spans="1:6" x14ac:dyDescent="0.3">
      <c r="A1873">
        <v>2017</v>
      </c>
      <c r="B1873" t="s">
        <v>63</v>
      </c>
      <c r="C1873" t="s">
        <v>8</v>
      </c>
      <c r="D1873" s="2">
        <v>10297</v>
      </c>
      <c r="E1873" s="2">
        <v>71320</v>
      </c>
      <c r="F1873" s="3">
        <v>37061</v>
      </c>
    </row>
    <row r="1874" spans="1:6" x14ac:dyDescent="0.3">
      <c r="A1874">
        <v>2017</v>
      </c>
      <c r="B1874" t="s">
        <v>63</v>
      </c>
      <c r="C1874" t="s">
        <v>9</v>
      </c>
      <c r="D1874" s="2">
        <v>5315</v>
      </c>
      <c r="E1874" s="2">
        <v>24804</v>
      </c>
      <c r="F1874" s="3">
        <v>33179</v>
      </c>
    </row>
    <row r="1875" spans="1:6" x14ac:dyDescent="0.3">
      <c r="A1875">
        <v>2017</v>
      </c>
      <c r="B1875" t="s">
        <v>63</v>
      </c>
      <c r="C1875" t="s">
        <v>10</v>
      </c>
      <c r="D1875" s="2">
        <v>88470</v>
      </c>
      <c r="E1875" s="2">
        <v>527915</v>
      </c>
      <c r="F1875" s="3">
        <v>40412</v>
      </c>
    </row>
    <row r="1876" spans="1:6" x14ac:dyDescent="0.3">
      <c r="A1876">
        <v>2017</v>
      </c>
      <c r="B1876" t="s">
        <v>63</v>
      </c>
      <c r="C1876" t="s">
        <v>11</v>
      </c>
      <c r="D1876" s="2">
        <v>15777</v>
      </c>
      <c r="E1876" s="2">
        <v>80034</v>
      </c>
      <c r="F1876" s="3">
        <v>39558</v>
      </c>
    </row>
    <row r="1877" spans="1:6" x14ac:dyDescent="0.3">
      <c r="A1877">
        <v>2017</v>
      </c>
      <c r="B1877" t="s">
        <v>63</v>
      </c>
      <c r="C1877" t="s">
        <v>12</v>
      </c>
      <c r="D1877" s="2">
        <v>16529</v>
      </c>
      <c r="E1877" s="2">
        <v>64279</v>
      </c>
      <c r="F1877" s="3">
        <v>33397</v>
      </c>
    </row>
    <row r="1878" spans="1:6" x14ac:dyDescent="0.3">
      <c r="A1878">
        <v>2017</v>
      </c>
      <c r="B1878" t="s">
        <v>63</v>
      </c>
      <c r="C1878" t="s">
        <v>13</v>
      </c>
      <c r="D1878" s="2">
        <v>2003</v>
      </c>
      <c r="E1878" s="2">
        <v>11881</v>
      </c>
      <c r="F1878" s="3">
        <v>33610</v>
      </c>
    </row>
    <row r="1879" spans="1:6" x14ac:dyDescent="0.3">
      <c r="A1879">
        <v>2017</v>
      </c>
      <c r="B1879" t="s">
        <v>63</v>
      </c>
      <c r="C1879" t="s">
        <v>14</v>
      </c>
      <c r="D1879" s="2">
        <v>54928</v>
      </c>
      <c r="E1879" s="2">
        <v>273903</v>
      </c>
      <c r="F1879" s="3">
        <v>35319</v>
      </c>
    </row>
    <row r="1880" spans="1:6" x14ac:dyDescent="0.3">
      <c r="A1880">
        <v>2017</v>
      </c>
      <c r="B1880" t="s">
        <v>63</v>
      </c>
      <c r="C1880" t="s">
        <v>15</v>
      </c>
      <c r="D1880" s="2">
        <v>18097</v>
      </c>
      <c r="E1880" s="2">
        <v>106445</v>
      </c>
      <c r="F1880" s="3">
        <v>35520</v>
      </c>
    </row>
    <row r="1881" spans="1:6" x14ac:dyDescent="0.3">
      <c r="A1881">
        <v>2017</v>
      </c>
      <c r="B1881" t="s">
        <v>63</v>
      </c>
      <c r="C1881" t="s">
        <v>16</v>
      </c>
      <c r="D1881" s="2">
        <v>3888</v>
      </c>
      <c r="E1881" s="2">
        <v>17915</v>
      </c>
      <c r="F1881" s="3">
        <v>30056</v>
      </c>
    </row>
    <row r="1882" spans="1:6" x14ac:dyDescent="0.3">
      <c r="A1882">
        <v>2017</v>
      </c>
      <c r="B1882" t="s">
        <v>63</v>
      </c>
      <c r="C1882" t="s">
        <v>17</v>
      </c>
      <c r="D1882" s="2">
        <v>39500</v>
      </c>
      <c r="E1882" s="2">
        <v>206494</v>
      </c>
      <c r="F1882" s="3">
        <v>41240</v>
      </c>
    </row>
    <row r="1883" spans="1:6" x14ac:dyDescent="0.3">
      <c r="A1883">
        <v>2017</v>
      </c>
      <c r="B1883" t="s">
        <v>63</v>
      </c>
      <c r="C1883" t="s">
        <v>18</v>
      </c>
      <c r="D1883" s="2">
        <v>13113</v>
      </c>
      <c r="E1883" s="2">
        <v>86944</v>
      </c>
      <c r="F1883" s="3">
        <v>31882</v>
      </c>
    </row>
    <row r="1884" spans="1:6" x14ac:dyDescent="0.3">
      <c r="A1884">
        <v>2017</v>
      </c>
      <c r="B1884" t="s">
        <v>63</v>
      </c>
      <c r="C1884" t="s">
        <v>19</v>
      </c>
      <c r="D1884" s="2">
        <v>8710</v>
      </c>
      <c r="E1884" s="2">
        <v>42498</v>
      </c>
      <c r="F1884" s="3">
        <v>33069</v>
      </c>
    </row>
    <row r="1885" spans="1:6" x14ac:dyDescent="0.3">
      <c r="A1885">
        <v>2017</v>
      </c>
      <c r="B1885" t="s">
        <v>63</v>
      </c>
      <c r="C1885" t="s">
        <v>20</v>
      </c>
      <c r="D1885" s="2">
        <v>6031</v>
      </c>
      <c r="E1885" s="2">
        <v>33578</v>
      </c>
      <c r="F1885" s="3">
        <v>33575</v>
      </c>
    </row>
    <row r="1886" spans="1:6" x14ac:dyDescent="0.3">
      <c r="A1886">
        <v>2017</v>
      </c>
      <c r="B1886" t="s">
        <v>63</v>
      </c>
      <c r="C1886" t="s">
        <v>21</v>
      </c>
      <c r="D1886" s="2">
        <v>10912</v>
      </c>
      <c r="E1886" s="2">
        <v>46382</v>
      </c>
      <c r="F1886" s="3">
        <v>32330</v>
      </c>
    </row>
    <row r="1887" spans="1:6" x14ac:dyDescent="0.3">
      <c r="A1887">
        <v>2017</v>
      </c>
      <c r="B1887" t="s">
        <v>63</v>
      </c>
      <c r="C1887" t="s">
        <v>22</v>
      </c>
      <c r="D1887" s="2">
        <v>9250</v>
      </c>
      <c r="E1887" s="2">
        <v>45963</v>
      </c>
      <c r="F1887" s="3">
        <v>36468</v>
      </c>
    </row>
    <row r="1888" spans="1:6" x14ac:dyDescent="0.3">
      <c r="A1888">
        <v>2017</v>
      </c>
      <c r="B1888" t="s">
        <v>63</v>
      </c>
      <c r="C1888" t="s">
        <v>23</v>
      </c>
      <c r="D1888" s="2">
        <v>4028</v>
      </c>
      <c r="E1888" s="2">
        <v>17774</v>
      </c>
      <c r="F1888" s="3">
        <v>32993</v>
      </c>
    </row>
    <row r="1889" spans="1:6" x14ac:dyDescent="0.3">
      <c r="A1889">
        <v>2017</v>
      </c>
      <c r="B1889" t="s">
        <v>63</v>
      </c>
      <c r="C1889" t="s">
        <v>24</v>
      </c>
      <c r="D1889" s="2">
        <v>19506</v>
      </c>
      <c r="E1889" s="2">
        <v>91492</v>
      </c>
      <c r="F1889" s="3">
        <v>41793</v>
      </c>
    </row>
    <row r="1890" spans="1:6" x14ac:dyDescent="0.3">
      <c r="A1890">
        <v>2017</v>
      </c>
      <c r="B1890" t="s">
        <v>63</v>
      </c>
      <c r="C1890" t="s">
        <v>25</v>
      </c>
      <c r="D1890" s="2">
        <v>21677</v>
      </c>
      <c r="E1890" s="2">
        <v>118160</v>
      </c>
      <c r="F1890" s="3">
        <v>37032</v>
      </c>
    </row>
    <row r="1891" spans="1:6" x14ac:dyDescent="0.3">
      <c r="A1891">
        <v>2017</v>
      </c>
      <c r="B1891" t="s">
        <v>63</v>
      </c>
      <c r="C1891" t="s">
        <v>26</v>
      </c>
      <c r="D1891" s="2">
        <v>29930</v>
      </c>
      <c r="E1891" s="2">
        <v>137568</v>
      </c>
      <c r="F1891" s="3">
        <v>32157</v>
      </c>
    </row>
    <row r="1892" spans="1:6" x14ac:dyDescent="0.3">
      <c r="A1892">
        <v>2017</v>
      </c>
      <c r="B1892" t="s">
        <v>63</v>
      </c>
      <c r="C1892" t="s">
        <v>27</v>
      </c>
      <c r="D1892" s="2">
        <v>16226</v>
      </c>
      <c r="E1892" s="2">
        <v>90138</v>
      </c>
      <c r="F1892" s="3">
        <v>33237</v>
      </c>
    </row>
    <row r="1893" spans="1:6" x14ac:dyDescent="0.3">
      <c r="A1893">
        <v>2017</v>
      </c>
      <c r="B1893" t="s">
        <v>63</v>
      </c>
      <c r="C1893" t="s">
        <v>28</v>
      </c>
      <c r="D1893" s="2">
        <v>4726</v>
      </c>
      <c r="E1893" s="2">
        <v>21154</v>
      </c>
      <c r="F1893" s="3">
        <v>33958</v>
      </c>
    </row>
    <row r="1894" spans="1:6" x14ac:dyDescent="0.3">
      <c r="A1894">
        <v>2017</v>
      </c>
      <c r="B1894" t="s">
        <v>63</v>
      </c>
      <c r="C1894" t="s">
        <v>29</v>
      </c>
      <c r="D1894" s="2">
        <v>13734</v>
      </c>
      <c r="E1894" s="2">
        <v>76037</v>
      </c>
      <c r="F1894" s="3">
        <v>32705</v>
      </c>
    </row>
    <row r="1895" spans="1:6" x14ac:dyDescent="0.3">
      <c r="A1895">
        <v>2017</v>
      </c>
      <c r="B1895" t="s">
        <v>63</v>
      </c>
      <c r="C1895" t="s">
        <v>30</v>
      </c>
      <c r="D1895" s="2">
        <v>4094</v>
      </c>
      <c r="E1895" s="2">
        <v>17909</v>
      </c>
      <c r="F1895" s="3">
        <v>29177</v>
      </c>
    </row>
    <row r="1896" spans="1:6" x14ac:dyDescent="0.3">
      <c r="A1896">
        <v>2017</v>
      </c>
      <c r="B1896" t="s">
        <v>63</v>
      </c>
      <c r="C1896" t="s">
        <v>31</v>
      </c>
      <c r="D1896" s="2">
        <v>4671</v>
      </c>
      <c r="E1896" s="2">
        <v>25082</v>
      </c>
      <c r="F1896" s="3">
        <v>31310</v>
      </c>
    </row>
    <row r="1897" spans="1:6" x14ac:dyDescent="0.3">
      <c r="A1897">
        <v>2017</v>
      </c>
      <c r="B1897" t="s">
        <v>63</v>
      </c>
      <c r="C1897" t="s">
        <v>32</v>
      </c>
      <c r="D1897" s="2">
        <v>4959</v>
      </c>
      <c r="E1897" s="2">
        <v>33667</v>
      </c>
      <c r="F1897" s="3">
        <v>36336</v>
      </c>
    </row>
    <row r="1898" spans="1:6" x14ac:dyDescent="0.3">
      <c r="A1898">
        <v>2017</v>
      </c>
      <c r="B1898" t="s">
        <v>63</v>
      </c>
      <c r="C1898" t="s">
        <v>33</v>
      </c>
      <c r="D1898" s="2">
        <v>3871</v>
      </c>
      <c r="E1898" s="2">
        <v>20493</v>
      </c>
      <c r="F1898" s="3">
        <v>36646</v>
      </c>
    </row>
    <row r="1899" spans="1:6" x14ac:dyDescent="0.3">
      <c r="A1899">
        <v>2017</v>
      </c>
      <c r="B1899" t="s">
        <v>63</v>
      </c>
      <c r="C1899" t="s">
        <v>34</v>
      </c>
      <c r="D1899" s="2">
        <v>25881</v>
      </c>
      <c r="E1899" s="2">
        <v>136480</v>
      </c>
      <c r="F1899" s="3">
        <v>35059</v>
      </c>
    </row>
    <row r="1900" spans="1:6" x14ac:dyDescent="0.3">
      <c r="A1900">
        <v>2017</v>
      </c>
      <c r="B1900" t="s">
        <v>63</v>
      </c>
      <c r="C1900" t="s">
        <v>35</v>
      </c>
      <c r="D1900" s="2">
        <v>3961</v>
      </c>
      <c r="E1900" s="2">
        <v>20593</v>
      </c>
      <c r="F1900" s="3">
        <v>32578</v>
      </c>
    </row>
    <row r="1901" spans="1:6" x14ac:dyDescent="0.3">
      <c r="A1901">
        <v>2017</v>
      </c>
      <c r="B1901" t="s">
        <v>63</v>
      </c>
      <c r="C1901" t="s">
        <v>36</v>
      </c>
      <c r="D1901" s="2">
        <v>74536</v>
      </c>
      <c r="E1901" s="2">
        <v>369805</v>
      </c>
      <c r="F1901" s="3">
        <v>40436</v>
      </c>
    </row>
    <row r="1902" spans="1:6" x14ac:dyDescent="0.3">
      <c r="A1902">
        <v>2017</v>
      </c>
      <c r="B1902" t="s">
        <v>63</v>
      </c>
      <c r="C1902" t="s">
        <v>37</v>
      </c>
      <c r="D1902" s="2">
        <v>23024</v>
      </c>
      <c r="E1902" s="2">
        <v>107404</v>
      </c>
      <c r="F1902" s="3">
        <v>33978</v>
      </c>
    </row>
    <row r="1903" spans="1:6" x14ac:dyDescent="0.3">
      <c r="A1903">
        <v>2017</v>
      </c>
      <c r="B1903" t="s">
        <v>63</v>
      </c>
      <c r="C1903" t="s">
        <v>38</v>
      </c>
      <c r="D1903" s="2">
        <v>2040</v>
      </c>
      <c r="E1903" s="2">
        <v>12231</v>
      </c>
      <c r="F1903" s="3">
        <v>34167</v>
      </c>
    </row>
    <row r="1904" spans="1:6" x14ac:dyDescent="0.3">
      <c r="A1904">
        <v>2017</v>
      </c>
      <c r="B1904" t="s">
        <v>63</v>
      </c>
      <c r="C1904" t="s">
        <v>39</v>
      </c>
      <c r="D1904" s="2">
        <v>23601</v>
      </c>
      <c r="E1904" s="2">
        <v>155257</v>
      </c>
      <c r="F1904" s="3">
        <v>33039</v>
      </c>
    </row>
    <row r="1905" spans="1:6" x14ac:dyDescent="0.3">
      <c r="A1905">
        <v>2017</v>
      </c>
      <c r="B1905" t="s">
        <v>63</v>
      </c>
      <c r="C1905" t="s">
        <v>40</v>
      </c>
      <c r="D1905" s="2">
        <v>6751</v>
      </c>
      <c r="E1905" s="2">
        <v>35772</v>
      </c>
      <c r="F1905" s="3">
        <v>34306</v>
      </c>
    </row>
    <row r="1906" spans="1:6" x14ac:dyDescent="0.3">
      <c r="A1906">
        <v>2017</v>
      </c>
      <c r="B1906" t="s">
        <v>63</v>
      </c>
      <c r="C1906" t="s">
        <v>41</v>
      </c>
      <c r="D1906" s="2">
        <v>22753</v>
      </c>
      <c r="E1906" s="2">
        <v>77028</v>
      </c>
      <c r="F1906" s="3">
        <v>31901</v>
      </c>
    </row>
    <row r="1907" spans="1:6" x14ac:dyDescent="0.3">
      <c r="A1907">
        <v>2017</v>
      </c>
      <c r="B1907" t="s">
        <v>63</v>
      </c>
      <c r="C1907" t="s">
        <v>42</v>
      </c>
      <c r="D1907" s="2">
        <v>32259</v>
      </c>
      <c r="E1907" s="2">
        <v>197527</v>
      </c>
      <c r="F1907" s="3">
        <v>32593</v>
      </c>
    </row>
    <row r="1908" spans="1:6" x14ac:dyDescent="0.3">
      <c r="A1908">
        <v>2017</v>
      </c>
      <c r="B1908" t="s">
        <v>63</v>
      </c>
      <c r="C1908" t="s">
        <v>43</v>
      </c>
      <c r="D1908" s="2">
        <v>3395</v>
      </c>
      <c r="E1908" s="2">
        <v>17959</v>
      </c>
      <c r="F1908" s="3">
        <v>32566</v>
      </c>
    </row>
    <row r="1909" spans="1:6" x14ac:dyDescent="0.3">
      <c r="A1909">
        <v>2017</v>
      </c>
      <c r="B1909" t="s">
        <v>63</v>
      </c>
      <c r="C1909" t="s">
        <v>44</v>
      </c>
      <c r="D1909" s="2">
        <v>11490</v>
      </c>
      <c r="E1909" s="2">
        <v>51779</v>
      </c>
      <c r="F1909" s="3">
        <v>32842</v>
      </c>
    </row>
    <row r="1910" spans="1:6" x14ac:dyDescent="0.3">
      <c r="A1910">
        <v>2017</v>
      </c>
      <c r="B1910" t="s">
        <v>63</v>
      </c>
      <c r="C1910" t="s">
        <v>45</v>
      </c>
      <c r="D1910" s="2">
        <v>2171</v>
      </c>
      <c r="E1910" s="2">
        <v>11078</v>
      </c>
      <c r="F1910" s="3">
        <v>31403</v>
      </c>
    </row>
    <row r="1911" spans="1:6" x14ac:dyDescent="0.3">
      <c r="A1911">
        <v>2017</v>
      </c>
      <c r="B1911" t="s">
        <v>63</v>
      </c>
      <c r="C1911" t="s">
        <v>46</v>
      </c>
      <c r="D1911" s="2">
        <v>14618</v>
      </c>
      <c r="E1911" s="2">
        <v>76045</v>
      </c>
      <c r="F1911" s="3">
        <v>34443</v>
      </c>
    </row>
    <row r="1912" spans="1:6" x14ac:dyDescent="0.3">
      <c r="A1912">
        <v>2017</v>
      </c>
      <c r="B1912" t="s">
        <v>63</v>
      </c>
      <c r="C1912" t="s">
        <v>47</v>
      </c>
      <c r="D1912" s="2">
        <v>56060</v>
      </c>
      <c r="E1912" s="2">
        <v>328026</v>
      </c>
      <c r="F1912" s="3">
        <v>37841</v>
      </c>
    </row>
    <row r="1913" spans="1:6" x14ac:dyDescent="0.3">
      <c r="A1913">
        <v>2017</v>
      </c>
      <c r="B1913" t="s">
        <v>63</v>
      </c>
      <c r="C1913" t="s">
        <v>48</v>
      </c>
      <c r="D1913" s="2">
        <v>6084</v>
      </c>
      <c r="E1913" s="2">
        <v>35143</v>
      </c>
      <c r="F1913" s="3">
        <v>34421</v>
      </c>
    </row>
    <row r="1914" spans="1:6" x14ac:dyDescent="0.3">
      <c r="A1914">
        <v>2017</v>
      </c>
      <c r="B1914" t="s">
        <v>63</v>
      </c>
      <c r="C1914" t="s">
        <v>49</v>
      </c>
      <c r="D1914" s="2">
        <v>1958</v>
      </c>
      <c r="E1914" s="2">
        <v>8658</v>
      </c>
      <c r="F1914" s="3">
        <v>34757</v>
      </c>
    </row>
    <row r="1915" spans="1:6" x14ac:dyDescent="0.3">
      <c r="A1915">
        <v>2017</v>
      </c>
      <c r="B1915" t="s">
        <v>63</v>
      </c>
      <c r="C1915" t="s">
        <v>50</v>
      </c>
      <c r="D1915" s="2">
        <v>32154</v>
      </c>
      <c r="E1915" s="2">
        <v>141985</v>
      </c>
      <c r="F1915" s="3">
        <v>42290</v>
      </c>
    </row>
    <row r="1916" spans="1:6" x14ac:dyDescent="0.3">
      <c r="A1916">
        <v>2017</v>
      </c>
      <c r="B1916" t="s">
        <v>63</v>
      </c>
      <c r="C1916" t="s">
        <v>51</v>
      </c>
      <c r="D1916" s="2">
        <v>19701</v>
      </c>
      <c r="E1916" s="2">
        <v>97492</v>
      </c>
      <c r="F1916" s="3">
        <v>38822</v>
      </c>
    </row>
    <row r="1917" spans="1:6" x14ac:dyDescent="0.3">
      <c r="A1917">
        <v>2017</v>
      </c>
      <c r="B1917" t="s">
        <v>63</v>
      </c>
      <c r="C1917" t="s">
        <v>52</v>
      </c>
      <c r="D1917" s="2">
        <v>5237</v>
      </c>
      <c r="E1917" s="2">
        <v>19979</v>
      </c>
      <c r="F1917" s="3">
        <v>29927</v>
      </c>
    </row>
    <row r="1918" spans="1:6" x14ac:dyDescent="0.3">
      <c r="A1918">
        <v>2017</v>
      </c>
      <c r="B1918" t="s">
        <v>63</v>
      </c>
      <c r="C1918" t="s">
        <v>53</v>
      </c>
      <c r="D1918" s="2">
        <v>14001</v>
      </c>
      <c r="E1918" s="2">
        <v>84153</v>
      </c>
      <c r="F1918" s="3">
        <v>29242</v>
      </c>
    </row>
    <row r="1919" spans="1:6" x14ac:dyDescent="0.3">
      <c r="A1919">
        <v>2017</v>
      </c>
      <c r="B1919" t="s">
        <v>63</v>
      </c>
      <c r="C1919" t="s">
        <v>54</v>
      </c>
      <c r="D1919" s="2">
        <v>1656</v>
      </c>
      <c r="E1919" s="2">
        <v>7231</v>
      </c>
      <c r="F1919" s="3">
        <v>35035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F0C5-7B26-4E81-8A25-20962B9589C4}">
  <dimension ref="A1:Z50"/>
  <sheetViews>
    <sheetView topLeftCell="K1" zoomScale="80" workbookViewId="0">
      <selection activeCell="U1" sqref="U1:X1"/>
    </sheetView>
  </sheetViews>
  <sheetFormatPr defaultRowHeight="14.4" x14ac:dyDescent="0.3"/>
  <cols>
    <col min="1" max="1" width="20.21875" bestFit="1" customWidth="1"/>
    <col min="2" max="2" width="24.33203125" bestFit="1" customWidth="1"/>
    <col min="4" max="4" width="20.21875" bestFit="1" customWidth="1"/>
    <col min="5" max="5" width="15.44140625" bestFit="1" customWidth="1"/>
    <col min="6" max="6" width="15.44140625" customWidth="1"/>
    <col min="8" max="8" width="20.21875" bestFit="1" customWidth="1"/>
    <col min="9" max="9" width="13.88671875" bestFit="1" customWidth="1"/>
    <col min="11" max="11" width="6.44140625" customWidth="1"/>
    <col min="12" max="12" width="12.6640625" bestFit="1" customWidth="1"/>
    <col min="13" max="13" width="9" bestFit="1" customWidth="1"/>
    <col min="16" max="16" width="12.6640625" bestFit="1" customWidth="1"/>
    <col min="17" max="17" width="15.109375" bestFit="1" customWidth="1"/>
    <col min="21" max="21" width="15" bestFit="1" customWidth="1"/>
    <col min="22" max="22" width="11.33203125" bestFit="1" customWidth="1"/>
    <col min="23" max="23" width="10.44140625" bestFit="1" customWidth="1"/>
    <col min="24" max="24" width="24.33203125" bestFit="1" customWidth="1"/>
    <col min="25" max="26" width="15.44140625" bestFit="1" customWidth="1"/>
  </cols>
  <sheetData>
    <row r="1" spans="1:26" x14ac:dyDescent="0.3">
      <c r="A1" s="7" t="s">
        <v>64</v>
      </c>
      <c r="B1" s="7"/>
      <c r="D1" s="9" t="s">
        <v>68</v>
      </c>
      <c r="E1" s="9"/>
      <c r="F1" s="9"/>
      <c r="H1" s="21" t="s">
        <v>70</v>
      </c>
      <c r="I1" s="21"/>
      <c r="J1" s="13"/>
      <c r="O1" s="21" t="s">
        <v>74</v>
      </c>
      <c r="P1" s="21"/>
      <c r="Q1" s="21"/>
      <c r="U1" s="21" t="s">
        <v>75</v>
      </c>
      <c r="V1" s="21"/>
      <c r="W1" s="21"/>
      <c r="X1" s="21"/>
    </row>
    <row r="2" spans="1:26" x14ac:dyDescent="0.3">
      <c r="A2" s="1" t="s">
        <v>1</v>
      </c>
      <c r="B2" s="4" t="s">
        <v>65</v>
      </c>
      <c r="D2" s="10" t="s">
        <v>1</v>
      </c>
      <c r="E2" s="10" t="s">
        <v>69</v>
      </c>
      <c r="F2" s="10" t="s">
        <v>65</v>
      </c>
      <c r="H2" s="10" t="s">
        <v>1</v>
      </c>
      <c r="I2" s="10" t="s">
        <v>71</v>
      </c>
      <c r="O2" s="10" t="s">
        <v>0</v>
      </c>
      <c r="P2" s="10" t="s">
        <v>73</v>
      </c>
      <c r="Q2" s="10" t="s">
        <v>71</v>
      </c>
      <c r="U2" s="10" t="s">
        <v>2</v>
      </c>
      <c r="V2" s="10" t="s">
        <v>71</v>
      </c>
      <c r="W2" s="10" t="s">
        <v>76</v>
      </c>
      <c r="X2" s="10" t="s">
        <v>77</v>
      </c>
      <c r="Y2" s="10" t="s">
        <v>78</v>
      </c>
      <c r="Z2" s="10" t="str">
        <f>B18</f>
        <v>Average by state</v>
      </c>
    </row>
    <row r="3" spans="1:26" x14ac:dyDescent="0.3">
      <c r="A3" t="s">
        <v>60</v>
      </c>
      <c r="B3" t="str">
        <f>Dashboard!A6</f>
        <v>Finance</v>
      </c>
      <c r="D3" t="s">
        <v>62</v>
      </c>
      <c r="E3" s="14">
        <f>AVERAGEIFS(Data!F2:F1919,Data!A2:A1919,$B$15,Data!B2:B1919,D3)</f>
        <v>23286.416666666668</v>
      </c>
      <c r="F3" s="16">
        <f>IF($B$3=D3,E3,0)</f>
        <v>0</v>
      </c>
      <c r="H3" t="s">
        <v>60</v>
      </c>
      <c r="I3" s="11">
        <f>SUMIFS(Data!E2:E1919,Data!A2:A1919,$B$15,Data!B2:B1919,H3)</f>
        <v>20065896</v>
      </c>
      <c r="O3">
        <v>2017</v>
      </c>
      <c r="P3" s="14">
        <f>AVERAGEIFS(Data!F2:F1919,Data!A2:A1919,'Data Prep'!O3,Data!B2:B1919,'Data Prep'!$B$3)</f>
        <v>77330.083333333328</v>
      </c>
      <c r="Q3" s="11">
        <f>SUMIFS(Data!E2:E1919,Data!A2:A1919,'Data Prep'!O3,Data!B2:B1919,'Data Prep'!$B$3)</f>
        <v>8021586</v>
      </c>
      <c r="U3" t="s">
        <v>7</v>
      </c>
      <c r="V3" s="11">
        <f>SUMIFS(Data!E2:E1919,Data!A2:A1919,'Data Prep'!$B$15,Data!B2:B1919,'Data Prep'!$B$3,Data!C2:C1919,'Data Prep'!U3)</f>
        <v>94715</v>
      </c>
      <c r="W3" vm="1">
        <v>4887871</v>
      </c>
      <c r="X3" s="15">
        <f>V3/W3*1000</f>
        <v>19.377557222766313</v>
      </c>
      <c r="Y3" s="16">
        <f>AVERAGEIFS(Data!F2:F1919,Data!A2:A1919,'Data Prep'!$B$15,Data!B2:B1919,'Data Prep'!$B$3,Data!C2:C1919,'Data Prep'!U3)</f>
        <v>75982</v>
      </c>
      <c r="Z3" s="17">
        <f>IF($Z$2=$Y$2,Y3,-X3)</f>
        <v>75982</v>
      </c>
    </row>
    <row r="4" spans="1:26" x14ac:dyDescent="0.3">
      <c r="A4" t="s">
        <v>55</v>
      </c>
      <c r="D4" t="s">
        <v>63</v>
      </c>
      <c r="E4" s="14">
        <f>AVERAGEIFS(Data!F3:F1920,Data!A3:A1920,$B$15,Data!B3:B1920,D4)</f>
        <v>40790.1875</v>
      </c>
      <c r="F4" s="16">
        <f t="shared" ref="F4:F12" si="0">IF($B$3=D4,E4,0)</f>
        <v>0</v>
      </c>
      <c r="H4" t="s">
        <v>55</v>
      </c>
      <c r="I4" s="11">
        <f>SUMIFS(Data!E3:E1920,Data!A3:A1920,$B$15,Data!B3:B1920,H4)</f>
        <v>7136444</v>
      </c>
      <c r="O4">
        <v>2018</v>
      </c>
      <c r="P4" s="14">
        <f>AVERAGEIFS(Data!F3:F1920,Data!A3:A1920,'Data Prep'!O4,Data!B3:B1920,'Data Prep'!$B$3)</f>
        <v>80167.854166666672</v>
      </c>
      <c r="Q4" s="11">
        <f>SUMIFS(Data!E3:E1920,Data!A3:A1920,'Data Prep'!O4,Data!B3:B1920,'Data Prep'!$B$3)</f>
        <v>8120224</v>
      </c>
      <c r="U4" t="s">
        <v>8</v>
      </c>
      <c r="V4" s="11">
        <f>SUMIFS(Data!E3:E1920,Data!A3:A1920,'Data Prep'!$B$15,Data!B3:B1920,'Data Prep'!$B$3,Data!C3:C1920,'Data Prep'!U4)</f>
        <v>225922</v>
      </c>
      <c r="W4" vm="2">
        <v>7171646</v>
      </c>
      <c r="X4" s="15">
        <f t="shared" ref="X4:X50" si="1">V4/W4*1000</f>
        <v>31.502112625190925</v>
      </c>
      <c r="Y4" s="16">
        <f>AVERAGEIFS(Data!F3:F1920,Data!A3:A1920,'Data Prep'!$B$15,Data!B3:B1920,'Data Prep'!$B$3,Data!C3:C1920,'Data Prep'!U4)</f>
        <v>82956</v>
      </c>
      <c r="Z4" s="17">
        <f t="shared" ref="Z4:Z50" si="2">IF($Z$2=$Y$2,Y4,-X4)</f>
        <v>82956</v>
      </c>
    </row>
    <row r="5" spans="1:26" x14ac:dyDescent="0.3">
      <c r="A5" t="s">
        <v>61</v>
      </c>
      <c r="D5" t="s">
        <v>57</v>
      </c>
      <c r="E5" s="14">
        <f>AVERAGEIFS(Data!F4:F1921,Data!A4:A1921,$B$15,Data!B4:B1921,D5)</f>
        <v>49366.8125</v>
      </c>
      <c r="F5" s="16">
        <f t="shared" si="0"/>
        <v>0</v>
      </c>
      <c r="H5" t="s">
        <v>61</v>
      </c>
      <c r="I5" s="11">
        <f>SUMIFS(Data!E4:E1921,Data!A4:A1921,$B$15,Data!B4:B1921,H5)</f>
        <v>22035033</v>
      </c>
      <c r="O5">
        <v>2019</v>
      </c>
      <c r="P5" s="14">
        <f>AVERAGEIFS(Data!F4:F1921,Data!A4:A1921,'Data Prep'!O5,Data!B4:B1921,'Data Prep'!$B$3)</f>
        <v>82837.375</v>
      </c>
      <c r="Q5" s="11">
        <f>SUMIFS(Data!E4:E1921,Data!A4:A1921,'Data Prep'!O5,Data!B4:B1921,'Data Prep'!$B$3)</f>
        <v>8251469</v>
      </c>
      <c r="U5" t="s">
        <v>9</v>
      </c>
      <c r="V5" s="11">
        <f>SUMIFS(Data!E4:E1921,Data!A4:A1921,'Data Prep'!$B$15,Data!B4:B1921,'Data Prep'!$B$3,Data!C4:C1921,'Data Prep'!U5)</f>
        <v>51950</v>
      </c>
      <c r="W5" vm="3">
        <v>3013825</v>
      </c>
      <c r="X5" s="15">
        <f t="shared" si="1"/>
        <v>17.237231756986553</v>
      </c>
      <c r="Y5" s="16">
        <f>AVERAGEIFS(Data!F4:F1921,Data!A4:A1921,'Data Prep'!$B$15,Data!B4:B1921,'Data Prep'!$B$3,Data!C4:C1921,'Data Prep'!U5)</f>
        <v>65321</v>
      </c>
      <c r="Z5" s="17">
        <f t="shared" si="2"/>
        <v>65321</v>
      </c>
    </row>
    <row r="6" spans="1:26" x14ac:dyDescent="0.3">
      <c r="A6" t="s">
        <v>59</v>
      </c>
      <c r="D6" t="s">
        <v>61</v>
      </c>
      <c r="E6" s="14">
        <f>AVERAGEIFS(Data!F5:F1922,Data!A5:A1922,$B$15,Data!B5:B1922,D6)</f>
        <v>53607.208333333336</v>
      </c>
      <c r="F6" s="16">
        <f t="shared" si="0"/>
        <v>0</v>
      </c>
      <c r="H6" t="s">
        <v>59</v>
      </c>
      <c r="I6" s="11">
        <f>SUMIFS(Data!E5:E1922,Data!A5:A1922,$B$15,Data!B5:B1922,H6)</f>
        <v>8142043</v>
      </c>
      <c r="O6">
        <v>2020</v>
      </c>
      <c r="P6" s="14">
        <f>AVERAGEIFS(Data!F5:F1922,Data!A5:A1922,'Data Prep'!O6,Data!B5:B1922,'Data Prep'!$B$3)</f>
        <v>90040.666666666672</v>
      </c>
      <c r="Q6" s="11">
        <f>SUMIFS(Data!E5:E1922,Data!A5:A1922,'Data Prep'!O6,Data!B5:B1922,'Data Prep'!$B$3)</f>
        <v>8142043</v>
      </c>
      <c r="U6" t="s">
        <v>10</v>
      </c>
      <c r="V6" s="11">
        <f>SUMIFS(Data!E5:E1922,Data!A5:A1922,'Data Prep'!$B$15,Data!B5:B1922,'Data Prep'!$B$3,Data!C5:C1922,'Data Prep'!U6)</f>
        <v>817007</v>
      </c>
      <c r="W6" vm="4">
        <v>39557045</v>
      </c>
      <c r="X6" s="15">
        <f t="shared" si="1"/>
        <v>20.653893636392709</v>
      </c>
      <c r="Y6" s="16">
        <f>AVERAGEIFS(Data!F5:F1922,Data!A5:A1922,'Data Prep'!$B$15,Data!B5:B1922,'Data Prep'!$B$3,Data!C5:C1922,'Data Prep'!U6)</f>
        <v>124107</v>
      </c>
      <c r="Z6" s="17">
        <f t="shared" si="2"/>
        <v>124107</v>
      </c>
    </row>
    <row r="7" spans="1:26" x14ac:dyDescent="0.3">
      <c r="A7" t="s">
        <v>58</v>
      </c>
      <c r="D7" t="s">
        <v>6</v>
      </c>
      <c r="E7" s="14">
        <f>AVERAGEIFS(Data!F6:F1923,Data!A6:A1923,$B$15,Data!B6:B1923,D7)</f>
        <v>55967.13636363636</v>
      </c>
      <c r="F7" s="16">
        <f t="shared" si="0"/>
        <v>0</v>
      </c>
      <c r="H7" t="s">
        <v>58</v>
      </c>
      <c r="I7" s="11">
        <f>SUMIFS(Data!E6:E1923,Data!A6:A1923,$B$15,Data!B6:B1923,H7)</f>
        <v>2677815</v>
      </c>
      <c r="U7" t="s">
        <v>11</v>
      </c>
      <c r="V7" s="11">
        <f>SUMIFS(Data!E6:E1923,Data!A6:A1923,'Data Prep'!$B$15,Data!B6:B1923,'Data Prep'!$B$3,Data!C6:C1923,'Data Prep'!U7)</f>
        <v>165271</v>
      </c>
      <c r="W7" vm="5">
        <v>5695564</v>
      </c>
      <c r="X7" s="15">
        <f t="shared" si="1"/>
        <v>29.017495018930521</v>
      </c>
      <c r="Y7" s="16">
        <f>AVERAGEIFS(Data!F6:F1923,Data!A6:A1923,'Data Prep'!$B$15,Data!B6:B1923,'Data Prep'!$B$3,Data!C6:C1923,'Data Prep'!U7)</f>
        <v>97276</v>
      </c>
      <c r="Z7" s="17">
        <f t="shared" si="2"/>
        <v>97276</v>
      </c>
    </row>
    <row r="8" spans="1:26" x14ac:dyDescent="0.3">
      <c r="A8" t="s">
        <v>62</v>
      </c>
      <c r="D8" t="s">
        <v>55</v>
      </c>
      <c r="E8" s="14">
        <f>AVERAGEIFS(Data!F7:F1924,Data!A7:A1924,$B$15,Data!B7:B1924,D8)</f>
        <v>63896.895833333336</v>
      </c>
      <c r="F8" s="16">
        <f t="shared" si="0"/>
        <v>0</v>
      </c>
      <c r="H8" t="s">
        <v>62</v>
      </c>
      <c r="I8" s="11">
        <f>SUMIFS(Data!E7:E1924,Data!A7:A1924,$B$15,Data!B7:B1924,H8)</f>
        <v>12649500</v>
      </c>
      <c r="U8" t="s">
        <v>12</v>
      </c>
      <c r="V8" s="11">
        <f>SUMIFS(Data!E7:E1924,Data!A7:A1924,'Data Prep'!$B$15,Data!B7:B1924,'Data Prep'!$B$3,Data!C7:C1924,'Data Prep'!U8)</f>
        <v>118168</v>
      </c>
      <c r="W8" vm="6">
        <v>3572665</v>
      </c>
      <c r="X8" s="15">
        <f t="shared" si="1"/>
        <v>33.075589231008223</v>
      </c>
      <c r="Y8" s="16">
        <f>AVERAGEIFS(Data!F7:F1924,Data!A7:A1924,'Data Prep'!$B$15,Data!B7:B1924,'Data Prep'!$B$3,Data!C7:C1924,'Data Prep'!U8)</f>
        <v>165086</v>
      </c>
      <c r="Z8" s="17">
        <f t="shared" si="2"/>
        <v>165086</v>
      </c>
    </row>
    <row r="9" spans="1:26" x14ac:dyDescent="0.3">
      <c r="A9" t="s">
        <v>56</v>
      </c>
      <c r="D9" t="s">
        <v>56</v>
      </c>
      <c r="E9" s="14">
        <f>AVERAGEIFS(Data!F8:F1925,Data!A8:A1925,$B$15,Data!B8:B1925,D9)</f>
        <v>68427.875</v>
      </c>
      <c r="F9" s="16">
        <f t="shared" si="0"/>
        <v>0</v>
      </c>
      <c r="H9" t="s">
        <v>56</v>
      </c>
      <c r="I9" s="11">
        <f>SUMIFS(Data!E8:E1925,Data!A8:A1925,$B$15,Data!B8:B1925,H9)</f>
        <v>12058694</v>
      </c>
      <c r="U9" t="s">
        <v>13</v>
      </c>
      <c r="V9" s="11">
        <f>SUMIFS(Data!E8:E1925,Data!A8:A1925,'Data Prep'!$B$15,Data!B8:B1925,'Data Prep'!$B$3,Data!C8:C1925,'Data Prep'!U9)</f>
        <v>47390</v>
      </c>
      <c r="W9" vm="7">
        <v>967171</v>
      </c>
      <c r="X9" s="15">
        <f t="shared" si="1"/>
        <v>48.99857419215423</v>
      </c>
      <c r="Y9" s="16">
        <f>AVERAGEIFS(Data!F8:F1925,Data!A8:A1925,'Data Prep'!$B$15,Data!B8:B1925,'Data Prep'!$B$3,Data!C8:C1925,'Data Prep'!U9)</f>
        <v>103154</v>
      </c>
      <c r="Z9" s="17">
        <f t="shared" si="2"/>
        <v>103154</v>
      </c>
    </row>
    <row r="10" spans="1:26" x14ac:dyDescent="0.3">
      <c r="A10" t="s">
        <v>6</v>
      </c>
      <c r="D10" t="s">
        <v>60</v>
      </c>
      <c r="E10" s="14">
        <f>AVERAGEIFS(Data!F9:F1926,Data!A9:A1926,$B$15,Data!B9:B1926,D10)</f>
        <v>74713.0625</v>
      </c>
      <c r="F10" s="16">
        <f t="shared" si="0"/>
        <v>0</v>
      </c>
      <c r="H10" t="s">
        <v>6</v>
      </c>
      <c r="I10" s="11">
        <f>SUMIFS(Data!E9:E1926,Data!A9:A1926,$B$15,Data!B9:B1926,H10)</f>
        <v>1219379</v>
      </c>
      <c r="U10" t="s">
        <v>14</v>
      </c>
      <c r="V10" s="11">
        <f>SUMIFS(Data!E9:E1926,Data!A9:A1926,'Data Prep'!$B$15,Data!B9:B1926,'Data Prep'!$B$3,Data!C9:C1926,'Data Prep'!U10)</f>
        <v>586706</v>
      </c>
      <c r="W10" vm="8">
        <v>21670000</v>
      </c>
      <c r="X10" s="15">
        <f t="shared" si="1"/>
        <v>27.074573142593447</v>
      </c>
      <c r="Y10" s="16">
        <f>AVERAGEIFS(Data!F9:F1926,Data!A9:A1926,'Data Prep'!$B$15,Data!B9:B1926,'Data Prep'!$B$3,Data!C9:C1926,'Data Prep'!U10)</f>
        <v>84307</v>
      </c>
      <c r="Z10" s="17">
        <f t="shared" si="2"/>
        <v>84307</v>
      </c>
    </row>
    <row r="11" spans="1:26" x14ac:dyDescent="0.3">
      <c r="A11" t="s">
        <v>63</v>
      </c>
      <c r="D11" t="s">
        <v>59</v>
      </c>
      <c r="E11" s="14">
        <f>AVERAGEIFS(Data!F10:F1927,Data!A10:A1927,$B$15,Data!B10:B1927,D11)</f>
        <v>90040.666666666672</v>
      </c>
      <c r="F11" s="16">
        <f t="shared" si="0"/>
        <v>90040.666666666672</v>
      </c>
      <c r="H11" t="s">
        <v>63</v>
      </c>
      <c r="I11" s="11">
        <f>SUMIFS(Data!E10:E1927,Data!A10:A1927,$B$15,Data!B10:B1927,H11)</f>
        <v>3843699</v>
      </c>
      <c r="U11" t="s">
        <v>15</v>
      </c>
      <c r="V11" s="11">
        <f>SUMIFS(Data!E10:E1927,Data!A10:A1927,'Data Prep'!$B$15,Data!B10:B1927,'Data Prep'!$B$3,Data!C10:C1927,'Data Prep'!U11)</f>
        <v>242175</v>
      </c>
      <c r="W11" vm="9">
        <v>10519475</v>
      </c>
      <c r="X11" s="15">
        <f t="shared" si="1"/>
        <v>23.021586153301374</v>
      </c>
      <c r="Y11" s="16">
        <f>AVERAGEIFS(Data!F10:F1927,Data!A10:A1927,'Data Prep'!$B$15,Data!B10:B1927,'Data Prep'!$B$3,Data!C10:C1927,'Data Prep'!U11)</f>
        <v>93145</v>
      </c>
      <c r="Z11" s="17">
        <f t="shared" si="2"/>
        <v>93145</v>
      </c>
    </row>
    <row r="12" spans="1:26" x14ac:dyDescent="0.3">
      <c r="A12" t="s">
        <v>57</v>
      </c>
      <c r="D12" t="s">
        <v>58</v>
      </c>
      <c r="E12" s="14">
        <f>AVERAGEIFS(Data!F11:F1928,Data!A11:A1928,$B$15,Data!B11:B1928,D12)</f>
        <v>93586.333333333328</v>
      </c>
      <c r="F12" s="16">
        <f t="shared" si="0"/>
        <v>0</v>
      </c>
      <c r="H12" t="s">
        <v>57</v>
      </c>
      <c r="I12" s="11">
        <f>SUMIFS(Data!E11:E1928,Data!A11:A1928,$B$15,Data!B11:B1928,H12)</f>
        <v>26277342</v>
      </c>
      <c r="U12" t="s">
        <v>16</v>
      </c>
      <c r="V12" s="11">
        <f>SUMIFS(Data!E11:E1928,Data!A11:A1928,'Data Prep'!$B$15,Data!B11:B1928,'Data Prep'!$B$3,Data!C11:C1928,'Data Prep'!U12)</f>
        <v>34249</v>
      </c>
      <c r="W12" vm="10">
        <v>1754208</v>
      </c>
      <c r="X12" s="15">
        <f t="shared" si="1"/>
        <v>19.523910505481677</v>
      </c>
      <c r="Y12" s="16">
        <f>AVERAGEIFS(Data!F11:F1928,Data!A11:A1928,'Data Prep'!$B$15,Data!B11:B1928,'Data Prep'!$B$3,Data!C11:C1928,'Data Prep'!U12)</f>
        <v>68833</v>
      </c>
      <c r="Z12" s="17">
        <f t="shared" si="2"/>
        <v>68833</v>
      </c>
    </row>
    <row r="13" spans="1:26" x14ac:dyDescent="0.3">
      <c r="U13" t="s">
        <v>17</v>
      </c>
      <c r="V13" s="11">
        <f>SUMIFS(Data!E12:E1929,Data!A12:A1929,'Data Prep'!$B$15,Data!B12:B1929,'Data Prep'!$B$3,Data!C12:C1929,'Data Prep'!U13)</f>
        <v>376539</v>
      </c>
      <c r="W13" vm="11">
        <v>12741080</v>
      </c>
      <c r="X13" s="15">
        <f t="shared" si="1"/>
        <v>29.553146201106969</v>
      </c>
      <c r="Y13" s="16">
        <f>AVERAGEIFS(Data!F12:F1929,Data!A12:A1929,'Data Prep'!$B$15,Data!B12:B1929,'Data Prep'!$B$3,Data!C12:C1929,'Data Prep'!U13)</f>
        <v>121634</v>
      </c>
      <c r="Z13" s="17">
        <f t="shared" si="2"/>
        <v>121634</v>
      </c>
    </row>
    <row r="14" spans="1:26" x14ac:dyDescent="0.3">
      <c r="A14" s="7" t="s">
        <v>66</v>
      </c>
      <c r="B14" s="7"/>
      <c r="U14" t="s">
        <v>18</v>
      </c>
      <c r="V14" s="11">
        <f>SUMIFS(Data!E13:E1930,Data!A13:A1930,'Data Prep'!$B$15,Data!B13:B1930,'Data Prep'!$B$3,Data!C13:C1930,'Data Prep'!U14)</f>
        <v>133449</v>
      </c>
      <c r="W14" vm="12">
        <v>6691878</v>
      </c>
      <c r="X14" s="15">
        <f t="shared" si="1"/>
        <v>19.94193558220876</v>
      </c>
      <c r="Y14" s="16">
        <f>AVERAGEIFS(Data!F13:F1930,Data!A13:A1930,'Data Prep'!$B$15,Data!B13:B1930,'Data Prep'!$B$3,Data!C13:C1930,'Data Prep'!U14)</f>
        <v>72283</v>
      </c>
      <c r="Z14" s="17">
        <f t="shared" si="2"/>
        <v>72283</v>
      </c>
    </row>
    <row r="15" spans="1:26" x14ac:dyDescent="0.3">
      <c r="A15" s="5" t="s">
        <v>67</v>
      </c>
      <c r="B15" s="6">
        <v>2020</v>
      </c>
      <c r="U15" t="s">
        <v>19</v>
      </c>
      <c r="V15" s="11">
        <f>SUMIFS(Data!E14:E1931,Data!A14:A1931,'Data Prep'!$B$15,Data!B14:B1931,'Data Prep'!$B$3,Data!C14:C1931,'Data Prep'!U15)</f>
        <v>109283</v>
      </c>
      <c r="W15" vm="13">
        <v>3156145</v>
      </c>
      <c r="X15" s="15">
        <f t="shared" si="1"/>
        <v>34.625468728464625</v>
      </c>
      <c r="Y15" s="16">
        <f>AVERAGEIFS(Data!F14:F1931,Data!A14:A1931,'Data Prep'!$B$15,Data!B14:B1931,'Data Prep'!$B$3,Data!C14:C1931,'Data Prep'!U15)</f>
        <v>81131</v>
      </c>
      <c r="Z15" s="17">
        <f t="shared" si="2"/>
        <v>81131</v>
      </c>
    </row>
    <row r="16" spans="1:26" x14ac:dyDescent="0.3">
      <c r="H16" s="21" t="s">
        <v>70</v>
      </c>
      <c r="I16" s="21"/>
      <c r="U16" t="s">
        <v>20</v>
      </c>
      <c r="V16" s="11">
        <f>SUMIFS(Data!E15:E1932,Data!A15:A1932,'Data Prep'!$B$15,Data!B15:B1932,'Data Prep'!$B$3,Data!C15:C1932,'Data Prep'!U16)</f>
        <v>73310</v>
      </c>
      <c r="W16" vm="14">
        <v>2911505</v>
      </c>
      <c r="X16" s="15">
        <f t="shared" si="1"/>
        <v>25.179417517744259</v>
      </c>
      <c r="Y16" s="16">
        <f>AVERAGEIFS(Data!F15:F1932,Data!A15:A1932,'Data Prep'!$B$15,Data!B15:B1932,'Data Prep'!$B$3,Data!C15:C1932,'Data Prep'!U16)</f>
        <v>75889</v>
      </c>
      <c r="Z16" s="17">
        <f t="shared" si="2"/>
        <v>75889</v>
      </c>
    </row>
    <row r="17" spans="1:26" x14ac:dyDescent="0.3">
      <c r="A17" s="7" t="s">
        <v>79</v>
      </c>
      <c r="B17" s="7"/>
      <c r="H17" s="10" t="s">
        <v>1</v>
      </c>
      <c r="I17" s="10" t="s">
        <v>71</v>
      </c>
      <c r="U17" t="s">
        <v>21</v>
      </c>
      <c r="V17" s="11">
        <f>SUMIFS(Data!E16:E1933,Data!A16:A1933,'Data Prep'!$B$15,Data!B16:B1933,'Data Prep'!$B$3,Data!C16:C1933,'Data Prep'!U17)</f>
        <v>92079</v>
      </c>
      <c r="W17" vm="15">
        <v>4468402</v>
      </c>
      <c r="X17" s="15">
        <f t="shared" si="1"/>
        <v>20.606695637500835</v>
      </c>
      <c r="Y17" s="16">
        <f>AVERAGEIFS(Data!F16:F1933,Data!A16:A1933,'Data Prep'!$B$15,Data!B16:B1933,'Data Prep'!$B$3,Data!C16:C1933,'Data Prep'!U17)</f>
        <v>75177</v>
      </c>
      <c r="Z17" s="17">
        <f t="shared" si="2"/>
        <v>75177</v>
      </c>
    </row>
    <row r="18" spans="1:26" x14ac:dyDescent="0.3">
      <c r="A18" s="5" t="s">
        <v>80</v>
      </c>
      <c r="B18" s="6" t="str">
        <f>IF(Dashboard!A2=1,'Data Prep'!X2,'Data Prep'!Y2)</f>
        <v>Average by state</v>
      </c>
      <c r="H18" t="str">
        <f>B3</f>
        <v>Finance</v>
      </c>
      <c r="I18" s="11">
        <f>VLOOKUP(H18,H2:I12,2,FALSE)</f>
        <v>8142043</v>
      </c>
      <c r="U18" t="s">
        <v>22</v>
      </c>
      <c r="V18" s="11">
        <f>SUMIFS(Data!E17:E1934,Data!A17:A1934,'Data Prep'!$B$15,Data!B17:B1934,'Data Prep'!$B$3,Data!C17:C1934,'Data Prep'!U18)</f>
        <v>81149</v>
      </c>
      <c r="W18" vm="16">
        <v>4659978</v>
      </c>
      <c r="X18" s="15">
        <f t="shared" si="1"/>
        <v>17.414030710016227</v>
      </c>
      <c r="Y18" s="16">
        <f>AVERAGEIFS(Data!F17:F1934,Data!A17:A1934,'Data Prep'!$B$15,Data!B17:B1934,'Data Prep'!$B$3,Data!C17:C1934,'Data Prep'!U18)</f>
        <v>69409</v>
      </c>
      <c r="Z18" s="17">
        <f t="shared" si="2"/>
        <v>69409</v>
      </c>
    </row>
    <row r="19" spans="1:26" x14ac:dyDescent="0.3">
      <c r="B19" s="8"/>
      <c r="H19" t="s">
        <v>72</v>
      </c>
      <c r="I19" s="12">
        <f>SUM(I3:I12)-I18</f>
        <v>107963802</v>
      </c>
      <c r="U19" t="s">
        <v>23</v>
      </c>
      <c r="V19" s="11">
        <f>SUMIFS(Data!E18:E1935,Data!A18:A1935,'Data Prep'!$B$15,Data!B18:B1935,'Data Prep'!$B$3,Data!C18:C1935,'Data Prep'!U19)</f>
        <v>30107</v>
      </c>
      <c r="W19" vm="17">
        <v>1338404</v>
      </c>
      <c r="X19" s="15">
        <f t="shared" si="1"/>
        <v>22.494702645837879</v>
      </c>
      <c r="Y19" s="16">
        <f>AVERAGEIFS(Data!F18:F1935,Data!A18:A1935,'Data Prep'!$B$15,Data!B18:B1935,'Data Prep'!$B$3,Data!C18:C1935,'Data Prep'!U19)</f>
        <v>75870</v>
      </c>
      <c r="Z19" s="17">
        <f t="shared" si="2"/>
        <v>75870</v>
      </c>
    </row>
    <row r="20" spans="1:26" x14ac:dyDescent="0.3">
      <c r="U20" t="s">
        <v>24</v>
      </c>
      <c r="V20" s="11">
        <f>SUMIFS(Data!E19:E1936,Data!A19:A1936,'Data Prep'!$B$15,Data!B19:B1936,'Data Prep'!$B$3,Data!C19:C1936,'Data Prep'!U20)</f>
        <v>129771</v>
      </c>
      <c r="W20" vm="18">
        <v>6042718</v>
      </c>
      <c r="X20" s="15">
        <f t="shared" si="1"/>
        <v>21.475600880266132</v>
      </c>
      <c r="Y20" s="16">
        <f>AVERAGEIFS(Data!F19:F1936,Data!A19:A1936,'Data Prep'!$B$15,Data!B19:B1936,'Data Prep'!$B$3,Data!C19:C1936,'Data Prep'!U20)</f>
        <v>110159</v>
      </c>
      <c r="Z20" s="17">
        <f t="shared" si="2"/>
        <v>110159</v>
      </c>
    </row>
    <row r="21" spans="1:26" x14ac:dyDescent="0.3">
      <c r="H21" s="21" t="s">
        <v>70</v>
      </c>
      <c r="I21" s="21"/>
      <c r="U21" t="s">
        <v>25</v>
      </c>
      <c r="V21" s="11">
        <f>SUMIFS(Data!E20:E1937,Data!A20:A1937,'Data Prep'!$B$15,Data!B20:B1937,'Data Prep'!$B$3,Data!C20:C1937,'Data Prep'!U21)</f>
        <v>212062</v>
      </c>
      <c r="W21" vm="19">
        <v>6902149</v>
      </c>
      <c r="X21" s="15">
        <f>V21/W21*1000</f>
        <v>30.724054203987773</v>
      </c>
      <c r="Y21" s="16">
        <f>AVERAGEIFS(Data!F20:F1937,Data!A20:A1937,'Data Prep'!$B$15,Data!B20:B1937,'Data Prep'!$B$3,Data!C20:C1937,'Data Prep'!U21)</f>
        <v>159120</v>
      </c>
      <c r="Z21" s="17">
        <f t="shared" si="2"/>
        <v>159120</v>
      </c>
    </row>
    <row r="22" spans="1:26" x14ac:dyDescent="0.3">
      <c r="H22" s="10" t="s">
        <v>1</v>
      </c>
      <c r="I22" s="10" t="s">
        <v>71</v>
      </c>
      <c r="U22" t="s">
        <v>26</v>
      </c>
      <c r="V22" s="11">
        <f>SUMIFS(Data!E21:E1938,Data!A21:A1938,'Data Prep'!$B$15,Data!B21:B1938,'Data Prep'!$B$3,Data!C21:C1938,'Data Prep'!U22)</f>
        <v>207448</v>
      </c>
      <c r="W22" vm="20">
        <v>9995915</v>
      </c>
      <c r="X22" s="15">
        <f t="shared" si="1"/>
        <v>20.753277713946147</v>
      </c>
      <c r="Y22" s="16">
        <f>AVERAGEIFS(Data!F21:F1938,Data!A21:A1938,'Data Prep'!$B$15,Data!B21:B1938,'Data Prep'!$B$3,Data!C21:C1938,'Data Prep'!U22)</f>
        <v>81720</v>
      </c>
      <c r="Z22" s="17">
        <f t="shared" si="2"/>
        <v>81720</v>
      </c>
    </row>
    <row r="23" spans="1:26" x14ac:dyDescent="0.3">
      <c r="H23" t="str">
        <f>H18</f>
        <v>Finance</v>
      </c>
      <c r="I23" s="18">
        <f>I18/SUM(I3:I12)</f>
        <v>7.0126038874270283E-2</v>
      </c>
      <c r="U23" t="s">
        <v>27</v>
      </c>
      <c r="V23" s="11">
        <f>SUMIFS(Data!E22:E1939,Data!A22:A1939,'Data Prep'!$B$15,Data!B22:B1939,'Data Prep'!$B$3,Data!C22:C1939,'Data Prep'!U23)</f>
        <v>179728</v>
      </c>
      <c r="W23" vm="21">
        <v>5611179</v>
      </c>
      <c r="X23" s="15">
        <f t="shared" si="1"/>
        <v>32.030345137804375</v>
      </c>
      <c r="Y23" s="16">
        <f>AVERAGEIFS(Data!F22:F1939,Data!A22:A1939,'Data Prep'!$B$15,Data!B22:B1939,'Data Prep'!$B$3,Data!C22:C1939,'Data Prep'!U23)</f>
        <v>104989</v>
      </c>
      <c r="Z23" s="17">
        <f t="shared" si="2"/>
        <v>104989</v>
      </c>
    </row>
    <row r="24" spans="1:26" x14ac:dyDescent="0.3">
      <c r="U24" t="s">
        <v>28</v>
      </c>
      <c r="V24" s="11">
        <f>SUMIFS(Data!E23:E1940,Data!A23:A1940,'Data Prep'!$B$15,Data!B23:B1940,'Data Prep'!$B$3,Data!C23:C1940,'Data Prep'!U24)</f>
        <v>41912</v>
      </c>
      <c r="W24" vm="22">
        <v>2963914</v>
      </c>
      <c r="X24" s="15">
        <f t="shared" si="1"/>
        <v>14.140761169183721</v>
      </c>
      <c r="Y24" s="16">
        <f>AVERAGEIFS(Data!F23:F1940,Data!A23:A1940,'Data Prep'!$B$15,Data!B23:B1940,'Data Prep'!$B$3,Data!C23:C1940,'Data Prep'!U24)</f>
        <v>59263</v>
      </c>
      <c r="Z24" s="17">
        <f t="shared" si="2"/>
        <v>59263</v>
      </c>
    </row>
    <row r="25" spans="1:26" x14ac:dyDescent="0.3">
      <c r="U25" t="s">
        <v>29</v>
      </c>
      <c r="V25" s="11">
        <f>SUMIFS(Data!E24:E1941,Data!A24:A1941,'Data Prep'!$B$15,Data!B24:B1941,'Data Prep'!$B$3,Data!C24:C1941,'Data Prep'!U25)</f>
        <v>165564</v>
      </c>
      <c r="W25" vm="23">
        <v>6126452</v>
      </c>
      <c r="X25" s="15">
        <f t="shared" si="1"/>
        <v>27.024450693484582</v>
      </c>
      <c r="Y25" s="16">
        <f>AVERAGEIFS(Data!F24:F1941,Data!A24:A1941,'Data Prep'!$B$15,Data!B24:B1941,'Data Prep'!$B$3,Data!C24:C1941,'Data Prep'!U25)</f>
        <v>82664</v>
      </c>
      <c r="Z25" s="17">
        <f t="shared" si="2"/>
        <v>82664</v>
      </c>
    </row>
    <row r="26" spans="1:26" x14ac:dyDescent="0.3">
      <c r="U26" t="s">
        <v>30</v>
      </c>
      <c r="V26" s="11">
        <f>SUMIFS(Data!E25:E1942,Data!A25:A1942,'Data Prep'!$B$15,Data!B25:B1942,'Data Prep'!$B$3,Data!C25:C1942,'Data Prep'!U26)</f>
        <v>21986</v>
      </c>
      <c r="W26" vm="24">
        <v>1062305</v>
      </c>
      <c r="X26" s="15">
        <f t="shared" si="1"/>
        <v>20.696504299612634</v>
      </c>
      <c r="Y26" s="16">
        <f>AVERAGEIFS(Data!F25:F1942,Data!A25:A1942,'Data Prep'!$B$15,Data!B25:B1942,'Data Prep'!$B$3,Data!C25:C1942,'Data Prep'!U26)</f>
        <v>67330</v>
      </c>
      <c r="Z26" s="17">
        <f t="shared" si="2"/>
        <v>67330</v>
      </c>
    </row>
    <row r="27" spans="1:26" x14ac:dyDescent="0.3">
      <c r="U27" t="s">
        <v>31</v>
      </c>
      <c r="V27" s="11">
        <f>SUMIFS(Data!E26:E1943,Data!A26:A1943,'Data Prep'!$B$15,Data!B26:B1943,'Data Prep'!$B$3,Data!C26:C1943,'Data Prep'!U27)</f>
        <v>66588</v>
      </c>
      <c r="W27" vm="25">
        <v>1929268</v>
      </c>
      <c r="X27" s="15">
        <f t="shared" si="1"/>
        <v>34.5146449326895</v>
      </c>
      <c r="Y27" s="16">
        <f>AVERAGEIFS(Data!F26:F1943,Data!A26:A1943,'Data Prep'!$B$15,Data!B26:B1943,'Data Prep'!$B$3,Data!C26:C1943,'Data Prep'!U27)</f>
        <v>74942</v>
      </c>
      <c r="Z27" s="17">
        <f t="shared" si="2"/>
        <v>74942</v>
      </c>
    </row>
    <row r="28" spans="1:26" x14ac:dyDescent="0.3">
      <c r="U28" t="s">
        <v>32</v>
      </c>
      <c r="V28" s="11">
        <f>SUMIFS(Data!E27:E1944,Data!A27:A1944,'Data Prep'!$B$15,Data!B27:B1944,'Data Prep'!$B$3,Data!C27:C1944,'Data Prep'!U28)</f>
        <v>62325</v>
      </c>
      <c r="W28" vm="26">
        <v>3034392</v>
      </c>
      <c r="X28" s="15">
        <f t="shared" si="1"/>
        <v>20.539534773358223</v>
      </c>
      <c r="Y28" s="16">
        <f>AVERAGEIFS(Data!F27:F1944,Data!A27:A1944,'Data Prep'!$B$15,Data!B27:B1944,'Data Prep'!$B$3,Data!C27:C1944,'Data Prep'!U28)</f>
        <v>79236</v>
      </c>
      <c r="Z28" s="17">
        <f t="shared" si="2"/>
        <v>79236</v>
      </c>
    </row>
    <row r="29" spans="1:26" x14ac:dyDescent="0.3">
      <c r="U29" t="s">
        <v>33</v>
      </c>
      <c r="V29" s="11">
        <f>SUMIFS(Data!E28:E1945,Data!A28:A1945,'Data Prep'!$B$15,Data!B28:B1945,'Data Prep'!$B$3,Data!C28:C1945,'Data Prep'!U29)</f>
        <v>33027</v>
      </c>
      <c r="W29" vm="27">
        <v>1356458</v>
      </c>
      <c r="X29" s="15">
        <f t="shared" si="1"/>
        <v>24.347970965558829</v>
      </c>
      <c r="Y29" s="16">
        <f>AVERAGEIFS(Data!F28:F1945,Data!A28:A1945,'Data Prep'!$B$15,Data!B28:B1945,'Data Prep'!$B$3,Data!C28:C1945,'Data Prep'!U29)</f>
        <v>109751</v>
      </c>
      <c r="Z29" s="17">
        <f t="shared" si="2"/>
        <v>109751</v>
      </c>
    </row>
    <row r="30" spans="1:26" x14ac:dyDescent="0.3">
      <c r="U30" t="s">
        <v>34</v>
      </c>
      <c r="V30" s="11">
        <f>SUMIFS(Data!E29:E1946,Data!A29:A1946,'Data Prep'!$B$15,Data!B29:B1946,'Data Prep'!$B$3,Data!C29:C1946,'Data Prep'!U30)</f>
        <v>235676</v>
      </c>
      <c r="W30" vm="28">
        <v>8908520</v>
      </c>
      <c r="X30" s="15">
        <f t="shared" si="1"/>
        <v>26.455123858957492</v>
      </c>
      <c r="Y30" s="16">
        <f>AVERAGEIFS(Data!F29:F1946,Data!A29:A1946,'Data Prep'!$B$15,Data!B29:B1946,'Data Prep'!$B$3,Data!C29:C1946,'Data Prep'!U30)</f>
        <v>127870</v>
      </c>
      <c r="Z30" s="17">
        <f t="shared" si="2"/>
        <v>127870</v>
      </c>
    </row>
    <row r="31" spans="1:26" x14ac:dyDescent="0.3">
      <c r="U31" t="s">
        <v>35</v>
      </c>
      <c r="V31" s="11">
        <f>SUMIFS(Data!E30:E1947,Data!A30:A1947,'Data Prep'!$B$15,Data!B30:B1947,'Data Prep'!$B$3,Data!C30:C1947,'Data Prep'!U31)</f>
        <v>32608</v>
      </c>
      <c r="W31" vm="29">
        <v>2095428</v>
      </c>
      <c r="X31" s="15">
        <f t="shared" si="1"/>
        <v>15.561498653258429</v>
      </c>
      <c r="Y31" s="16">
        <f>AVERAGEIFS(Data!F30:F1947,Data!A30:A1947,'Data Prep'!$B$15,Data!B30:B1947,'Data Prep'!$B$3,Data!C30:C1947,'Data Prep'!U31)</f>
        <v>62343</v>
      </c>
      <c r="Z31" s="17">
        <f t="shared" si="2"/>
        <v>62343</v>
      </c>
    </row>
    <row r="32" spans="1:26" x14ac:dyDescent="0.3">
      <c r="U32" t="s">
        <v>36</v>
      </c>
      <c r="V32" s="11">
        <f>SUMIFS(Data!E31:E1948,Data!A31:A1948,'Data Prep'!$B$15,Data!B31:B1948,'Data Prep'!$B$3,Data!C31:C1948,'Data Prep'!U32)</f>
        <v>700031</v>
      </c>
      <c r="W32" vm="30">
        <v>19542209</v>
      </c>
      <c r="X32" s="15">
        <f t="shared" si="1"/>
        <v>35.821487734574944</v>
      </c>
      <c r="Y32" s="16">
        <f>AVERAGEIFS(Data!F31:F1948,Data!A31:A1948,'Data Prep'!$B$15,Data!B31:B1948,'Data Prep'!$B$3,Data!C31:C1948,'Data Prep'!U32)</f>
        <v>207014</v>
      </c>
      <c r="Z32" s="17">
        <f t="shared" si="2"/>
        <v>207014</v>
      </c>
    </row>
    <row r="33" spans="21:26" x14ac:dyDescent="0.3">
      <c r="U33" t="s">
        <v>37</v>
      </c>
      <c r="V33" s="11">
        <f>SUMIFS(Data!E32:E1949,Data!A32:A1949,'Data Prep'!$B$15,Data!B32:B1949,'Data Prep'!$B$3,Data!C32:C1949,'Data Prep'!U33)</f>
        <v>251672</v>
      </c>
      <c r="W33" vm="31">
        <v>10383620</v>
      </c>
      <c r="X33" s="15">
        <f t="shared" si="1"/>
        <v>24.237404681604293</v>
      </c>
      <c r="Y33" s="16">
        <f>AVERAGEIFS(Data!F32:F1949,Data!A32:A1949,'Data Prep'!$B$15,Data!B32:B1949,'Data Prep'!$B$3,Data!C32:C1949,'Data Prep'!U33)</f>
        <v>97234</v>
      </c>
      <c r="Z33" s="17">
        <f t="shared" si="2"/>
        <v>97234</v>
      </c>
    </row>
    <row r="34" spans="21:26" x14ac:dyDescent="0.3">
      <c r="U34" t="s">
        <v>38</v>
      </c>
      <c r="V34" s="11">
        <f>SUMIFS(Data!E33:E1950,Data!A33:A1950,'Data Prep'!$B$15,Data!B33:B1950,'Data Prep'!$B$3,Data!C33:C1950,'Data Prep'!U34)</f>
        <v>22496</v>
      </c>
      <c r="W34" vm="32">
        <v>760077</v>
      </c>
      <c r="X34" s="15">
        <f t="shared" si="1"/>
        <v>29.59700135644152</v>
      </c>
      <c r="Y34" s="16">
        <f>AVERAGEIFS(Data!F33:F1950,Data!A33:A1950,'Data Prep'!$B$15,Data!B33:B1950,'Data Prep'!$B$3,Data!C33:C1950,'Data Prep'!U34)</f>
        <v>69243</v>
      </c>
      <c r="Z34" s="17">
        <f t="shared" si="2"/>
        <v>69243</v>
      </c>
    </row>
    <row r="35" spans="21:26" x14ac:dyDescent="0.3">
      <c r="U35" t="s">
        <v>39</v>
      </c>
      <c r="V35" s="11">
        <f>SUMIFS(Data!E34:E1951,Data!A34:A1951,'Data Prep'!$B$15,Data!B34:B1951,'Data Prep'!$B$3,Data!C34:C1951,'Data Prep'!U35)</f>
        <v>287990</v>
      </c>
      <c r="W35" vm="33">
        <v>11689442</v>
      </c>
      <c r="X35" s="15">
        <f t="shared" si="1"/>
        <v>24.636761960066185</v>
      </c>
      <c r="Y35" s="16">
        <f>AVERAGEIFS(Data!F34:F1951,Data!A34:A1951,'Data Prep'!$B$15,Data!B34:B1951,'Data Prep'!$B$3,Data!C34:C1951,'Data Prep'!U35)</f>
        <v>82336</v>
      </c>
      <c r="Z35" s="17">
        <f t="shared" si="2"/>
        <v>82336</v>
      </c>
    </row>
    <row r="36" spans="21:26" x14ac:dyDescent="0.3">
      <c r="U36" t="s">
        <v>40</v>
      </c>
      <c r="V36" s="11">
        <f>SUMIFS(Data!E35:E1952,Data!A35:A1952,'Data Prep'!$B$15,Data!B35:B1952,'Data Prep'!$B$3,Data!C35:C1952,'Data Prep'!U36)</f>
        <v>74614</v>
      </c>
      <c r="W36" vm="34">
        <v>3943079</v>
      </c>
      <c r="X36" s="15">
        <f t="shared" si="1"/>
        <v>18.922775830765755</v>
      </c>
      <c r="Y36" s="16">
        <f>AVERAGEIFS(Data!F35:F1952,Data!A35:A1952,'Data Prep'!$B$15,Data!B35:B1952,'Data Prep'!$B$3,Data!C35:C1952,'Data Prep'!U36)</f>
        <v>64030</v>
      </c>
      <c r="Z36" s="17">
        <f t="shared" si="2"/>
        <v>64030</v>
      </c>
    </row>
    <row r="37" spans="21:26" x14ac:dyDescent="0.3">
      <c r="U37" t="s">
        <v>41</v>
      </c>
      <c r="V37" s="11">
        <f>SUMIFS(Data!E36:E1953,Data!A36:A1953,'Data Prep'!$B$15,Data!B36:B1953,'Data Prep'!$B$3,Data!C36:C1953,'Data Prep'!U37)</f>
        <v>83937</v>
      </c>
      <c r="W37" vm="35">
        <v>4190713</v>
      </c>
      <c r="X37" s="15">
        <f t="shared" si="1"/>
        <v>20.029288572135577</v>
      </c>
      <c r="Y37" s="16">
        <f>AVERAGEIFS(Data!F36:F1953,Data!A36:A1953,'Data Prep'!$B$15,Data!B36:B1953,'Data Prep'!$B$3,Data!C36:C1953,'Data Prep'!U37)</f>
        <v>80727</v>
      </c>
      <c r="Z37" s="17">
        <f t="shared" si="2"/>
        <v>80727</v>
      </c>
    </row>
    <row r="38" spans="21:26" x14ac:dyDescent="0.3">
      <c r="U38" t="s">
        <v>42</v>
      </c>
      <c r="V38" s="11">
        <f>SUMIFS(Data!E37:E1954,Data!A37:A1954,'Data Prep'!$B$15,Data!B37:B1954,'Data Prep'!$B$3,Data!C37:C1954,'Data Prep'!U38)</f>
        <v>325571</v>
      </c>
      <c r="W38" vm="36">
        <v>12807060</v>
      </c>
      <c r="X38" s="15">
        <f t="shared" si="1"/>
        <v>25.421212987211742</v>
      </c>
      <c r="Y38" s="16">
        <f>AVERAGEIFS(Data!F37:F1954,Data!A37:A1954,'Data Prep'!$B$15,Data!B37:B1954,'Data Prep'!$B$3,Data!C37:C1954,'Data Prep'!U38)</f>
        <v>97231</v>
      </c>
      <c r="Z38" s="17">
        <f t="shared" si="2"/>
        <v>97231</v>
      </c>
    </row>
    <row r="39" spans="21:26" x14ac:dyDescent="0.3">
      <c r="U39" t="s">
        <v>43</v>
      </c>
      <c r="V39" s="11">
        <f>SUMIFS(Data!E38:E1955,Data!A38:A1955,'Data Prep'!$B$15,Data!B38:B1955,'Data Prep'!$B$3,Data!C38:C1955,'Data Prep'!U39)</f>
        <v>31304</v>
      </c>
      <c r="W39" vm="37">
        <v>1057315</v>
      </c>
      <c r="X39" s="15">
        <f t="shared" si="1"/>
        <v>29.607070740507798</v>
      </c>
      <c r="Y39" s="16">
        <f>AVERAGEIFS(Data!F38:F1955,Data!A38:A1955,'Data Prep'!$B$15,Data!B38:B1955,'Data Prep'!$B$3,Data!C38:C1955,'Data Prep'!U39)</f>
        <v>100316</v>
      </c>
      <c r="Z39" s="17">
        <f t="shared" si="2"/>
        <v>100316</v>
      </c>
    </row>
    <row r="40" spans="21:26" x14ac:dyDescent="0.3">
      <c r="U40" t="s">
        <v>44</v>
      </c>
      <c r="V40" s="11">
        <f>SUMIFS(Data!E39:E1956,Data!A39:A1956,'Data Prep'!$B$15,Data!B39:B1956,'Data Prep'!$B$3,Data!C39:C1956,'Data Prep'!U40)</f>
        <v>101637</v>
      </c>
      <c r="W40" vm="38">
        <v>5084127</v>
      </c>
      <c r="X40" s="15">
        <f t="shared" si="1"/>
        <v>19.991042709987379</v>
      </c>
      <c r="Y40" s="16">
        <f>AVERAGEIFS(Data!F39:F1956,Data!A39:A1956,'Data Prep'!$B$15,Data!B39:B1956,'Data Prep'!$B$3,Data!C39:C1956,'Data Prep'!U40)</f>
        <v>71361</v>
      </c>
      <c r="Z40" s="17">
        <f t="shared" si="2"/>
        <v>71361</v>
      </c>
    </row>
    <row r="41" spans="21:26" x14ac:dyDescent="0.3">
      <c r="U41" t="s">
        <v>45</v>
      </c>
      <c r="V41" s="11">
        <f>SUMIFS(Data!E40:E1957,Data!A40:A1957,'Data Prep'!$B$15,Data!B40:B1957,'Data Prep'!$B$3,Data!C40:C1957,'Data Prep'!U41)</f>
        <v>27809</v>
      </c>
      <c r="W41" vm="39">
        <v>882235</v>
      </c>
      <c r="X41" s="15">
        <f t="shared" si="1"/>
        <v>31.521079984357907</v>
      </c>
      <c r="Y41" s="16">
        <f>AVERAGEIFS(Data!F40:F1957,Data!A40:A1957,'Data Prep'!$B$15,Data!B40:B1957,'Data Prep'!$B$3,Data!C40:C1957,'Data Prep'!U41)</f>
        <v>69345</v>
      </c>
      <c r="Z41" s="17">
        <f t="shared" si="2"/>
        <v>69345</v>
      </c>
    </row>
    <row r="42" spans="21:26" x14ac:dyDescent="0.3">
      <c r="U42" t="s">
        <v>46</v>
      </c>
      <c r="V42" s="11">
        <f>SUMIFS(Data!E41:E1958,Data!A41:A1958,'Data Prep'!$B$15,Data!B41:B1958,'Data Prep'!$B$3,Data!C41:C1958,'Data Prep'!U42)</f>
        <v>155926</v>
      </c>
      <c r="W42" vm="40">
        <v>6770010</v>
      </c>
      <c r="X42" s="15">
        <f t="shared" si="1"/>
        <v>23.031871444798458</v>
      </c>
      <c r="Y42" s="16">
        <f>AVERAGEIFS(Data!F41:F1958,Data!A41:A1958,'Data Prep'!$B$15,Data!B41:B1958,'Data Prep'!$B$3,Data!C41:C1958,'Data Prep'!U42)</f>
        <v>85116</v>
      </c>
      <c r="Z42" s="17">
        <f t="shared" si="2"/>
        <v>85116</v>
      </c>
    </row>
    <row r="43" spans="21:26" x14ac:dyDescent="0.3">
      <c r="U43" t="s">
        <v>47</v>
      </c>
      <c r="V43" s="11">
        <f>SUMIFS(Data!E42:E1959,Data!A42:A1959,'Data Prep'!$B$15,Data!B42:B1959,'Data Prep'!$B$3,Data!C42:C1959,'Data Prep'!U43)</f>
        <v>778554</v>
      </c>
      <c r="W43" vm="41">
        <v>28701845</v>
      </c>
      <c r="X43" s="15">
        <f t="shared" si="1"/>
        <v>27.125573286316612</v>
      </c>
      <c r="Y43" s="16">
        <f>AVERAGEIFS(Data!F42:F1959,Data!A42:A1959,'Data Prep'!$B$15,Data!B42:B1959,'Data Prep'!$B$3,Data!C42:C1959,'Data Prep'!U43)</f>
        <v>92477</v>
      </c>
      <c r="Z43" s="17">
        <f t="shared" si="2"/>
        <v>92477</v>
      </c>
    </row>
    <row r="44" spans="21:26" x14ac:dyDescent="0.3">
      <c r="U44" t="s">
        <v>48</v>
      </c>
      <c r="V44" s="11">
        <f>SUMIFS(Data!E43:E1960,Data!A43:A1960,'Data Prep'!$B$15,Data!B43:B1960,'Data Prep'!$B$3,Data!C43:C1960,'Data Prep'!U44)</f>
        <v>93379</v>
      </c>
      <c r="W44" vm="42">
        <v>3161105</v>
      </c>
      <c r="X44" s="15">
        <f t="shared" si="1"/>
        <v>29.539986808410351</v>
      </c>
      <c r="Y44" s="16">
        <f>AVERAGEIFS(Data!F43:F1960,Data!A43:A1960,'Data Prep'!$B$15,Data!B43:B1960,'Data Prep'!$B$3,Data!C43:C1960,'Data Prep'!U44)</f>
        <v>79806</v>
      </c>
      <c r="Z44" s="17">
        <f t="shared" si="2"/>
        <v>79806</v>
      </c>
    </row>
    <row r="45" spans="21:26" x14ac:dyDescent="0.3">
      <c r="U45" t="s">
        <v>49</v>
      </c>
      <c r="V45" s="11">
        <f>SUMIFS(Data!E44:E1961,Data!A44:A1961,'Data Prep'!$B$15,Data!B44:B1961,'Data Prep'!$B$3,Data!C44:C1961,'Data Prep'!U45)</f>
        <v>11578</v>
      </c>
      <c r="W45" vm="43">
        <v>626299</v>
      </c>
      <c r="X45" s="15">
        <f t="shared" si="1"/>
        <v>18.486377912147393</v>
      </c>
      <c r="Y45" s="16">
        <f>AVERAGEIFS(Data!F44:F1961,Data!A44:A1961,'Data Prep'!$B$15,Data!B44:B1961,'Data Prep'!$B$3,Data!C44:C1961,'Data Prep'!U45)</f>
        <v>80135</v>
      </c>
      <c r="Z45" s="17">
        <f t="shared" si="2"/>
        <v>80135</v>
      </c>
    </row>
    <row r="46" spans="21:26" x14ac:dyDescent="0.3">
      <c r="U46" t="s">
        <v>50</v>
      </c>
      <c r="V46" s="11">
        <f>SUMIFS(Data!E45:E1962,Data!A45:A1962,'Data Prep'!$B$15,Data!B45:B1962,'Data Prep'!$B$3,Data!C45:C1962,'Data Prep'!U46)</f>
        <v>195671</v>
      </c>
      <c r="W46" vm="44">
        <v>8517685</v>
      </c>
      <c r="X46" s="15">
        <f t="shared" si="1"/>
        <v>22.972321704782463</v>
      </c>
      <c r="Y46" s="16">
        <f>AVERAGEIFS(Data!F45:F1962,Data!A45:A1962,'Data Prep'!$B$15,Data!B45:B1962,'Data Prep'!$B$3,Data!C45:C1962,'Data Prep'!U46)</f>
        <v>97246</v>
      </c>
      <c r="Z46" s="17">
        <f t="shared" si="2"/>
        <v>97246</v>
      </c>
    </row>
    <row r="47" spans="21:26" x14ac:dyDescent="0.3">
      <c r="U47" t="s">
        <v>51</v>
      </c>
      <c r="V47" s="11">
        <f>SUMIFS(Data!E46:E1963,Data!A46:A1963,'Data Prep'!$B$15,Data!B46:B1963,'Data Prep'!$B$3,Data!C46:C1963,'Data Prep'!U47)</f>
        <v>147772</v>
      </c>
      <c r="W47" vm="45">
        <v>7614893</v>
      </c>
      <c r="X47" s="15">
        <f t="shared" si="1"/>
        <v>19.405656783358612</v>
      </c>
      <c r="Y47" s="16">
        <f>AVERAGEIFS(Data!F46:F1963,Data!A46:A1963,'Data Prep'!$B$15,Data!B46:B1963,'Data Prep'!$B$3,Data!C46:C1963,'Data Prep'!U47)</f>
        <v>95674</v>
      </c>
      <c r="Z47" s="17">
        <f t="shared" si="2"/>
        <v>95674</v>
      </c>
    </row>
    <row r="48" spans="21:26" x14ac:dyDescent="0.3">
      <c r="U48" t="s">
        <v>52</v>
      </c>
      <c r="V48" s="11">
        <f>SUMIFS(Data!E47:E1964,Data!A47:A1964,'Data Prep'!$B$15,Data!B47:B1964,'Data Prep'!$B$3,Data!C47:C1964,'Data Prep'!U48)</f>
        <v>24190</v>
      </c>
      <c r="W48" vm="46">
        <v>1805832</v>
      </c>
      <c r="X48" s="15">
        <f t="shared" si="1"/>
        <v>13.395487509358567</v>
      </c>
      <c r="Y48" s="16">
        <f>AVERAGEIFS(Data!F47:F1964,Data!A47:A1964,'Data Prep'!$B$15,Data!B47:B1964,'Data Prep'!$B$3,Data!C47:C1964,'Data Prep'!U48)</f>
        <v>56764</v>
      </c>
      <c r="Z48" s="17">
        <f t="shared" si="2"/>
        <v>56764</v>
      </c>
    </row>
    <row r="49" spans="21:26" x14ac:dyDescent="0.3">
      <c r="U49" t="s">
        <v>53</v>
      </c>
      <c r="V49" s="11">
        <f>SUMIFS(Data!E48:E1965,Data!A48:A1965,'Data Prep'!$B$15,Data!B48:B1965,'Data Prep'!$B$3,Data!C48:C1965,'Data Prep'!U49)</f>
        <v>148829</v>
      </c>
      <c r="W49" vm="47">
        <v>5813568</v>
      </c>
      <c r="X49" s="15">
        <f t="shared" si="1"/>
        <v>25.600285401323248</v>
      </c>
      <c r="Y49" s="16">
        <f>AVERAGEIFS(Data!F48:F1965,Data!A48:A1965,'Data Prep'!$B$15,Data!B48:B1965,'Data Prep'!$B$3,Data!C48:C1965,'Data Prep'!U49)</f>
        <v>80470</v>
      </c>
      <c r="Z49" s="17">
        <f t="shared" si="2"/>
        <v>80470</v>
      </c>
    </row>
    <row r="50" spans="21:26" x14ac:dyDescent="0.3">
      <c r="U50" t="s">
        <v>54</v>
      </c>
      <c r="V50" s="11">
        <f>SUMIFS(Data!E49:E1966,Data!A49:A1966,'Data Prep'!$B$15,Data!B49:B1966,'Data Prep'!$B$3,Data!C49:C1966,'Data Prep'!U50)</f>
        <v>10919</v>
      </c>
      <c r="W50" vm="48">
        <v>577737</v>
      </c>
      <c r="X50" s="15">
        <f t="shared" si="1"/>
        <v>18.89960310660387</v>
      </c>
      <c r="Y50" s="16">
        <f>AVERAGEIFS(Data!F49:F1966,Data!A49:A1966,'Data Prep'!$B$15,Data!B49:B1966,'Data Prep'!$B$3,Data!C49:C1966,'Data Prep'!U50)</f>
        <v>64480</v>
      </c>
      <c r="Z50" s="17">
        <f t="shared" si="2"/>
        <v>64480</v>
      </c>
    </row>
  </sheetData>
  <autoFilter ref="D2:E12" xr:uid="{392AF0C5-7B26-4E81-8A25-20962B9589C4}">
    <sortState xmlns:xlrd2="http://schemas.microsoft.com/office/spreadsheetml/2017/richdata2" ref="D3:E12">
      <sortCondition ref="E2:E12"/>
    </sortState>
  </autoFilter>
  <mergeCells count="5">
    <mergeCell ref="H1:I1"/>
    <mergeCell ref="H16:I16"/>
    <mergeCell ref="O1:Q1"/>
    <mergeCell ref="U1:X1"/>
    <mergeCell ref="H21:I21"/>
  </mergeCells>
  <pageMargins left="0.7" right="0.7" top="0.75" bottom="0.75" header="0.3" footer="0.3"/>
  <ignoredErrors>
    <ignoredError sqref="I4 I5:I12 P4:Q6 V4:V50 E4:E1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8842-6184-4706-B232-D9AB72F42B62}">
  <dimension ref="A1:B6"/>
  <sheetViews>
    <sheetView showGridLines="0" showRowColHeaders="0" tabSelected="1" zoomScale="87" zoomScaleNormal="55" workbookViewId="0">
      <selection activeCell="D7" sqref="D7"/>
    </sheetView>
  </sheetViews>
  <sheetFormatPr defaultRowHeight="14.4" x14ac:dyDescent="0.3"/>
  <cols>
    <col min="2" max="2" width="25.33203125" customWidth="1"/>
  </cols>
  <sheetData>
    <row r="1" spans="1:2" x14ac:dyDescent="0.3">
      <c r="A1" s="19">
        <v>9</v>
      </c>
    </row>
    <row r="2" spans="1:2" x14ac:dyDescent="0.3">
      <c r="A2" s="19">
        <v>2</v>
      </c>
    </row>
    <row r="3" spans="1:2" x14ac:dyDescent="0.3">
      <c r="A3" s="20"/>
    </row>
    <row r="6" spans="1:2" ht="21" x14ac:dyDescent="0.4">
      <c r="A6" s="22" t="str" cm="1">
        <f t="array" ref="A6">INDEX('Data Prep'!D3:D12,Dashboard!A1)</f>
        <v>Finance</v>
      </c>
      <c r="B6" s="22"/>
    </row>
  </sheetData>
  <sheetProtection selectLockedCells="1" selectUnlockedCells="1"/>
  <mergeCells count="1">
    <mergeCell ref="A6:B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3" r:id="rId3" name="Spinner 11">
              <controlPr defaultSize="0" autoPict="0">
                <anchor moveWithCells="1" sizeWithCells="1">
                  <from>
                    <xdr:col>1</xdr:col>
                    <xdr:colOff>1470660</xdr:colOff>
                    <xdr:row>5</xdr:row>
                    <xdr:rowOff>0</xdr:rowOff>
                  </from>
                  <to>
                    <xdr:col>2</xdr:col>
                    <xdr:colOff>7620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4" name="Option Button 13">
              <controlPr defaultSize="0" autoFill="0" autoLine="0" autoPict="0">
                <anchor moveWithCells="1">
                  <from>
                    <xdr:col>10</xdr:col>
                    <xdr:colOff>38100</xdr:colOff>
                    <xdr:row>6</xdr:row>
                    <xdr:rowOff>83820</xdr:rowOff>
                  </from>
                  <to>
                    <xdr:col>12</xdr:col>
                    <xdr:colOff>457200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5" name="Option Button 14">
              <controlPr defaultSize="0" autoFill="0" autoLine="0" autoPict="0">
                <anchor moveWithCells="1">
                  <from>
                    <xdr:col>13</xdr:col>
                    <xdr:colOff>45720</xdr:colOff>
                    <xdr:row>6</xdr:row>
                    <xdr:rowOff>114300</xdr:rowOff>
                  </from>
                  <to>
                    <xdr:col>15</xdr:col>
                    <xdr:colOff>480060</xdr:colOff>
                    <xdr:row>7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forampatel14700@gmail.com</dc:creator>
  <cp:lastModifiedBy>forampatel14700@gmail.com</cp:lastModifiedBy>
  <dcterms:created xsi:type="dcterms:W3CDTF">2026-03-01T06:00:42Z</dcterms:created>
  <dcterms:modified xsi:type="dcterms:W3CDTF">2026-03-09T05:39:16Z</dcterms:modified>
</cp:coreProperties>
</file>